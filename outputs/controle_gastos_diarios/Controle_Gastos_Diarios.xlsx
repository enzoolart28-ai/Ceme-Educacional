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aa501474a4162f8/Documentos/Projeto CEME/outputs/controle_gastos_diarios/"/>
    </mc:Choice>
  </mc:AlternateContent>
  <xr:revisionPtr revIDLastSave="1" documentId="11_51E7591D23FB98F40561D48A9B666BEEB0CD2A7B" xr6:coauthVersionLast="47" xr6:coauthVersionMax="47" xr10:uidLastSave="{EF34CCB9-E5DB-434E-A0F3-49C01EEBC7E4}"/>
  <bookViews>
    <workbookView xWindow="-108" yWindow="-108" windowWidth="23256" windowHeight="13896" xr2:uid="{00000000-000D-0000-FFFF-FFFF00000000}"/>
  </bookViews>
  <sheets>
    <sheet name="Resumo" sheetId="1" r:id="rId1"/>
    <sheet name="Débito" sheetId="2" r:id="rId2"/>
    <sheet name="Crédito" sheetId="3" r:id="rId3"/>
    <sheet name="Todos os Gastos" sheetId="4" r:id="rId4"/>
    <sheet name="Lis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I405" i="4"/>
  <c r="H405" i="4"/>
  <c r="G405" i="4"/>
  <c r="F405" i="4"/>
  <c r="E405" i="4"/>
  <c r="D405" i="4"/>
  <c r="C405" i="4"/>
  <c r="B405" i="4"/>
  <c r="A405" i="4"/>
  <c r="I404" i="4"/>
  <c r="H404" i="4"/>
  <c r="G404" i="4"/>
  <c r="F404" i="4"/>
  <c r="E404" i="4"/>
  <c r="D404" i="4"/>
  <c r="C404" i="4"/>
  <c r="B404" i="4"/>
  <c r="A404" i="4"/>
  <c r="I403" i="4"/>
  <c r="H403" i="4"/>
  <c r="G403" i="4"/>
  <c r="F403" i="4"/>
  <c r="E403" i="4"/>
  <c r="D403" i="4"/>
  <c r="C403" i="4"/>
  <c r="B403" i="4"/>
  <c r="A403" i="4"/>
  <c r="I402" i="4"/>
  <c r="H402" i="4"/>
  <c r="G402" i="4"/>
  <c r="F402" i="4"/>
  <c r="E402" i="4"/>
  <c r="D402" i="4"/>
  <c r="C402" i="4"/>
  <c r="B402" i="4"/>
  <c r="A402" i="4"/>
  <c r="I401" i="4"/>
  <c r="H401" i="4"/>
  <c r="G401" i="4"/>
  <c r="F401" i="4"/>
  <c r="E401" i="4"/>
  <c r="D401" i="4"/>
  <c r="C401" i="4"/>
  <c r="B401" i="4"/>
  <c r="A401" i="4"/>
  <c r="I400" i="4"/>
  <c r="H400" i="4"/>
  <c r="G400" i="4"/>
  <c r="F400" i="4"/>
  <c r="E400" i="4"/>
  <c r="D400" i="4"/>
  <c r="C400" i="4"/>
  <c r="B400" i="4"/>
  <c r="A400" i="4"/>
  <c r="I399" i="4"/>
  <c r="H399" i="4"/>
  <c r="G399" i="4"/>
  <c r="F399" i="4"/>
  <c r="E399" i="4"/>
  <c r="D399" i="4"/>
  <c r="C399" i="4"/>
  <c r="B399" i="4"/>
  <c r="A399" i="4"/>
  <c r="I398" i="4"/>
  <c r="H398" i="4"/>
  <c r="G398" i="4"/>
  <c r="F398" i="4"/>
  <c r="E398" i="4"/>
  <c r="D398" i="4"/>
  <c r="C398" i="4"/>
  <c r="B398" i="4"/>
  <c r="A398" i="4"/>
  <c r="I397" i="4"/>
  <c r="H397" i="4"/>
  <c r="G397" i="4"/>
  <c r="F397" i="4"/>
  <c r="E397" i="4"/>
  <c r="D397" i="4"/>
  <c r="C397" i="4"/>
  <c r="B397" i="4"/>
  <c r="A397" i="4"/>
  <c r="I396" i="4"/>
  <c r="H396" i="4"/>
  <c r="G396" i="4"/>
  <c r="F396" i="4"/>
  <c r="E396" i="4"/>
  <c r="D396" i="4"/>
  <c r="C396" i="4"/>
  <c r="B396" i="4"/>
  <c r="A396" i="4"/>
  <c r="I395" i="4"/>
  <c r="H395" i="4"/>
  <c r="G395" i="4"/>
  <c r="F395" i="4"/>
  <c r="E395" i="4"/>
  <c r="D395" i="4"/>
  <c r="C395" i="4"/>
  <c r="B395" i="4"/>
  <c r="A395" i="4"/>
  <c r="I394" i="4"/>
  <c r="H394" i="4"/>
  <c r="G394" i="4"/>
  <c r="F394" i="4"/>
  <c r="E394" i="4"/>
  <c r="D394" i="4"/>
  <c r="C394" i="4"/>
  <c r="B394" i="4"/>
  <c r="A394" i="4"/>
  <c r="I393" i="4"/>
  <c r="H393" i="4"/>
  <c r="G393" i="4"/>
  <c r="F393" i="4"/>
  <c r="E393" i="4"/>
  <c r="D393" i="4"/>
  <c r="C393" i="4"/>
  <c r="B393" i="4"/>
  <c r="A393" i="4"/>
  <c r="I392" i="4"/>
  <c r="H392" i="4"/>
  <c r="G392" i="4"/>
  <c r="F392" i="4"/>
  <c r="E392" i="4"/>
  <c r="D392" i="4"/>
  <c r="C392" i="4"/>
  <c r="B392" i="4"/>
  <c r="A392" i="4"/>
  <c r="I391" i="4"/>
  <c r="H391" i="4"/>
  <c r="G391" i="4"/>
  <c r="F391" i="4"/>
  <c r="E391" i="4"/>
  <c r="D391" i="4"/>
  <c r="C391" i="4"/>
  <c r="B391" i="4"/>
  <c r="A391" i="4"/>
  <c r="I390" i="4"/>
  <c r="H390" i="4"/>
  <c r="G390" i="4"/>
  <c r="F390" i="4"/>
  <c r="E390" i="4"/>
  <c r="D390" i="4"/>
  <c r="C390" i="4"/>
  <c r="B390" i="4"/>
  <c r="A390" i="4"/>
  <c r="I389" i="4"/>
  <c r="H389" i="4"/>
  <c r="G389" i="4"/>
  <c r="F389" i="4"/>
  <c r="E389" i="4"/>
  <c r="D389" i="4"/>
  <c r="C389" i="4"/>
  <c r="B389" i="4"/>
  <c r="A389" i="4"/>
  <c r="I388" i="4"/>
  <c r="H388" i="4"/>
  <c r="G388" i="4"/>
  <c r="F388" i="4"/>
  <c r="E388" i="4"/>
  <c r="D388" i="4"/>
  <c r="C388" i="4"/>
  <c r="B388" i="4"/>
  <c r="A388" i="4"/>
  <c r="I387" i="4"/>
  <c r="H387" i="4"/>
  <c r="G387" i="4"/>
  <c r="F387" i="4"/>
  <c r="E387" i="4"/>
  <c r="D387" i="4"/>
  <c r="C387" i="4"/>
  <c r="B387" i="4"/>
  <c r="A387" i="4"/>
  <c r="I386" i="4"/>
  <c r="H386" i="4"/>
  <c r="G386" i="4"/>
  <c r="F386" i="4"/>
  <c r="E386" i="4"/>
  <c r="D386" i="4"/>
  <c r="C386" i="4"/>
  <c r="B386" i="4"/>
  <c r="A386" i="4"/>
  <c r="I385" i="4"/>
  <c r="H385" i="4"/>
  <c r="G385" i="4"/>
  <c r="F385" i="4"/>
  <c r="E385" i="4"/>
  <c r="D385" i="4"/>
  <c r="C385" i="4"/>
  <c r="B385" i="4"/>
  <c r="A385" i="4"/>
  <c r="I384" i="4"/>
  <c r="H384" i="4"/>
  <c r="G384" i="4"/>
  <c r="F384" i="4"/>
  <c r="E384" i="4"/>
  <c r="D384" i="4"/>
  <c r="C384" i="4"/>
  <c r="B384" i="4"/>
  <c r="A384" i="4"/>
  <c r="I383" i="4"/>
  <c r="H383" i="4"/>
  <c r="G383" i="4"/>
  <c r="F383" i="4"/>
  <c r="E383" i="4"/>
  <c r="D383" i="4"/>
  <c r="C383" i="4"/>
  <c r="B383" i="4"/>
  <c r="A383" i="4"/>
  <c r="I382" i="4"/>
  <c r="H382" i="4"/>
  <c r="G382" i="4"/>
  <c r="F382" i="4"/>
  <c r="E382" i="4"/>
  <c r="D382" i="4"/>
  <c r="C382" i="4"/>
  <c r="B382" i="4"/>
  <c r="A382" i="4"/>
  <c r="I381" i="4"/>
  <c r="H381" i="4"/>
  <c r="G381" i="4"/>
  <c r="F381" i="4"/>
  <c r="E381" i="4"/>
  <c r="D381" i="4"/>
  <c r="C381" i="4"/>
  <c r="B381" i="4"/>
  <c r="A381" i="4"/>
  <c r="I380" i="4"/>
  <c r="H380" i="4"/>
  <c r="G380" i="4"/>
  <c r="F380" i="4"/>
  <c r="E380" i="4"/>
  <c r="D380" i="4"/>
  <c r="C380" i="4"/>
  <c r="B380" i="4"/>
  <c r="A380" i="4"/>
  <c r="I379" i="4"/>
  <c r="H379" i="4"/>
  <c r="G379" i="4"/>
  <c r="F379" i="4"/>
  <c r="E379" i="4"/>
  <c r="D379" i="4"/>
  <c r="C379" i="4"/>
  <c r="B379" i="4"/>
  <c r="A379" i="4"/>
  <c r="I378" i="4"/>
  <c r="H378" i="4"/>
  <c r="G378" i="4"/>
  <c r="F378" i="4"/>
  <c r="E378" i="4"/>
  <c r="D378" i="4"/>
  <c r="C378" i="4"/>
  <c r="B378" i="4"/>
  <c r="A378" i="4"/>
  <c r="I377" i="4"/>
  <c r="H377" i="4"/>
  <c r="G377" i="4"/>
  <c r="F377" i="4"/>
  <c r="E377" i="4"/>
  <c r="D377" i="4"/>
  <c r="C377" i="4"/>
  <c r="B377" i="4"/>
  <c r="A377" i="4"/>
  <c r="I376" i="4"/>
  <c r="H376" i="4"/>
  <c r="G376" i="4"/>
  <c r="F376" i="4"/>
  <c r="E376" i="4"/>
  <c r="D376" i="4"/>
  <c r="C376" i="4"/>
  <c r="B376" i="4"/>
  <c r="A376" i="4"/>
  <c r="I375" i="4"/>
  <c r="H375" i="4"/>
  <c r="G375" i="4"/>
  <c r="F375" i="4"/>
  <c r="E375" i="4"/>
  <c r="D375" i="4"/>
  <c r="C375" i="4"/>
  <c r="B375" i="4"/>
  <c r="A375" i="4"/>
  <c r="I374" i="4"/>
  <c r="H374" i="4"/>
  <c r="G374" i="4"/>
  <c r="F374" i="4"/>
  <c r="E374" i="4"/>
  <c r="D374" i="4"/>
  <c r="C374" i="4"/>
  <c r="B374" i="4"/>
  <c r="A374" i="4"/>
  <c r="I373" i="4"/>
  <c r="H373" i="4"/>
  <c r="G373" i="4"/>
  <c r="F373" i="4"/>
  <c r="E373" i="4"/>
  <c r="D373" i="4"/>
  <c r="C373" i="4"/>
  <c r="B373" i="4"/>
  <c r="A373" i="4"/>
  <c r="I372" i="4"/>
  <c r="H372" i="4"/>
  <c r="G372" i="4"/>
  <c r="F372" i="4"/>
  <c r="E372" i="4"/>
  <c r="D372" i="4"/>
  <c r="C372" i="4"/>
  <c r="B372" i="4"/>
  <c r="A372" i="4"/>
  <c r="I371" i="4"/>
  <c r="H371" i="4"/>
  <c r="G371" i="4"/>
  <c r="F371" i="4"/>
  <c r="E371" i="4"/>
  <c r="D371" i="4"/>
  <c r="C371" i="4"/>
  <c r="B371" i="4"/>
  <c r="A371" i="4"/>
  <c r="I370" i="4"/>
  <c r="H370" i="4"/>
  <c r="G370" i="4"/>
  <c r="F370" i="4"/>
  <c r="E370" i="4"/>
  <c r="D370" i="4"/>
  <c r="C370" i="4"/>
  <c r="B370" i="4"/>
  <c r="A370" i="4"/>
  <c r="I369" i="4"/>
  <c r="H369" i="4"/>
  <c r="G369" i="4"/>
  <c r="F369" i="4"/>
  <c r="E369" i="4"/>
  <c r="D369" i="4"/>
  <c r="C369" i="4"/>
  <c r="B369" i="4"/>
  <c r="A369" i="4"/>
  <c r="I368" i="4"/>
  <c r="H368" i="4"/>
  <c r="G368" i="4"/>
  <c r="F368" i="4"/>
  <c r="E368" i="4"/>
  <c r="D368" i="4"/>
  <c r="C368" i="4"/>
  <c r="B368" i="4"/>
  <c r="A368" i="4"/>
  <c r="I367" i="4"/>
  <c r="H367" i="4"/>
  <c r="G367" i="4"/>
  <c r="F367" i="4"/>
  <c r="E367" i="4"/>
  <c r="D367" i="4"/>
  <c r="C367" i="4"/>
  <c r="B367" i="4"/>
  <c r="A367" i="4"/>
  <c r="I366" i="4"/>
  <c r="H366" i="4"/>
  <c r="G366" i="4"/>
  <c r="F366" i="4"/>
  <c r="E366" i="4"/>
  <c r="D366" i="4"/>
  <c r="C366" i="4"/>
  <c r="B366" i="4"/>
  <c r="A366" i="4"/>
  <c r="I365" i="4"/>
  <c r="H365" i="4"/>
  <c r="G365" i="4"/>
  <c r="F365" i="4"/>
  <c r="E365" i="4"/>
  <c r="D365" i="4"/>
  <c r="C365" i="4"/>
  <c r="B365" i="4"/>
  <c r="A365" i="4"/>
  <c r="I364" i="4"/>
  <c r="H364" i="4"/>
  <c r="G364" i="4"/>
  <c r="F364" i="4"/>
  <c r="E364" i="4"/>
  <c r="D364" i="4"/>
  <c r="C364" i="4"/>
  <c r="B364" i="4"/>
  <c r="A364" i="4"/>
  <c r="I363" i="4"/>
  <c r="H363" i="4"/>
  <c r="G363" i="4"/>
  <c r="F363" i="4"/>
  <c r="E363" i="4"/>
  <c r="D363" i="4"/>
  <c r="C363" i="4"/>
  <c r="B363" i="4"/>
  <c r="A363" i="4"/>
  <c r="I362" i="4"/>
  <c r="H362" i="4"/>
  <c r="G362" i="4"/>
  <c r="F362" i="4"/>
  <c r="E362" i="4"/>
  <c r="D362" i="4"/>
  <c r="C362" i="4"/>
  <c r="B362" i="4"/>
  <c r="A362" i="4"/>
  <c r="I361" i="4"/>
  <c r="H361" i="4"/>
  <c r="G361" i="4"/>
  <c r="F361" i="4"/>
  <c r="E361" i="4"/>
  <c r="D361" i="4"/>
  <c r="C361" i="4"/>
  <c r="B361" i="4"/>
  <c r="A361" i="4"/>
  <c r="I360" i="4"/>
  <c r="H360" i="4"/>
  <c r="G360" i="4"/>
  <c r="F360" i="4"/>
  <c r="E360" i="4"/>
  <c r="D360" i="4"/>
  <c r="C360" i="4"/>
  <c r="B360" i="4"/>
  <c r="A360" i="4"/>
  <c r="I359" i="4"/>
  <c r="H359" i="4"/>
  <c r="G359" i="4"/>
  <c r="F359" i="4"/>
  <c r="E359" i="4"/>
  <c r="D359" i="4"/>
  <c r="C359" i="4"/>
  <c r="B359" i="4"/>
  <c r="A359" i="4"/>
  <c r="I358" i="4"/>
  <c r="H358" i="4"/>
  <c r="G358" i="4"/>
  <c r="F358" i="4"/>
  <c r="E358" i="4"/>
  <c r="D358" i="4"/>
  <c r="C358" i="4"/>
  <c r="B358" i="4"/>
  <c r="A358" i="4"/>
  <c r="I357" i="4"/>
  <c r="H357" i="4"/>
  <c r="G357" i="4"/>
  <c r="F357" i="4"/>
  <c r="E357" i="4"/>
  <c r="D357" i="4"/>
  <c r="C357" i="4"/>
  <c r="B357" i="4"/>
  <c r="A357" i="4"/>
  <c r="I356" i="4"/>
  <c r="H356" i="4"/>
  <c r="G356" i="4"/>
  <c r="F356" i="4"/>
  <c r="E356" i="4"/>
  <c r="D356" i="4"/>
  <c r="C356" i="4"/>
  <c r="B356" i="4"/>
  <c r="A356" i="4"/>
  <c r="I355" i="4"/>
  <c r="H355" i="4"/>
  <c r="G355" i="4"/>
  <c r="F355" i="4"/>
  <c r="E355" i="4"/>
  <c r="D355" i="4"/>
  <c r="C355" i="4"/>
  <c r="B355" i="4"/>
  <c r="A355" i="4"/>
  <c r="I354" i="4"/>
  <c r="H354" i="4"/>
  <c r="G354" i="4"/>
  <c r="F354" i="4"/>
  <c r="E354" i="4"/>
  <c r="D354" i="4"/>
  <c r="C354" i="4"/>
  <c r="B354" i="4"/>
  <c r="A354" i="4"/>
  <c r="I353" i="4"/>
  <c r="H353" i="4"/>
  <c r="G353" i="4"/>
  <c r="F353" i="4"/>
  <c r="E353" i="4"/>
  <c r="D353" i="4"/>
  <c r="C353" i="4"/>
  <c r="B353" i="4"/>
  <c r="A353" i="4"/>
  <c r="I352" i="4"/>
  <c r="H352" i="4"/>
  <c r="G352" i="4"/>
  <c r="F352" i="4"/>
  <c r="E352" i="4"/>
  <c r="D352" i="4"/>
  <c r="C352" i="4"/>
  <c r="B352" i="4"/>
  <c r="A352" i="4"/>
  <c r="I351" i="4"/>
  <c r="H351" i="4"/>
  <c r="G351" i="4"/>
  <c r="F351" i="4"/>
  <c r="E351" i="4"/>
  <c r="D351" i="4"/>
  <c r="C351" i="4"/>
  <c r="B351" i="4"/>
  <c r="A351" i="4"/>
  <c r="I350" i="4"/>
  <c r="H350" i="4"/>
  <c r="G350" i="4"/>
  <c r="F350" i="4"/>
  <c r="E350" i="4"/>
  <c r="D350" i="4"/>
  <c r="C350" i="4"/>
  <c r="B350" i="4"/>
  <c r="A350" i="4"/>
  <c r="I349" i="4"/>
  <c r="H349" i="4"/>
  <c r="G349" i="4"/>
  <c r="F349" i="4"/>
  <c r="E349" i="4"/>
  <c r="D349" i="4"/>
  <c r="C349" i="4"/>
  <c r="B349" i="4"/>
  <c r="A349" i="4"/>
  <c r="I348" i="4"/>
  <c r="H348" i="4"/>
  <c r="G348" i="4"/>
  <c r="F348" i="4"/>
  <c r="E348" i="4"/>
  <c r="D348" i="4"/>
  <c r="C348" i="4"/>
  <c r="B348" i="4"/>
  <c r="A348" i="4"/>
  <c r="I347" i="4"/>
  <c r="H347" i="4"/>
  <c r="G347" i="4"/>
  <c r="F347" i="4"/>
  <c r="E347" i="4"/>
  <c r="D347" i="4"/>
  <c r="C347" i="4"/>
  <c r="B347" i="4"/>
  <c r="A347" i="4"/>
  <c r="I346" i="4"/>
  <c r="H346" i="4"/>
  <c r="G346" i="4"/>
  <c r="F346" i="4"/>
  <c r="E346" i="4"/>
  <c r="D346" i="4"/>
  <c r="C346" i="4"/>
  <c r="B346" i="4"/>
  <c r="A346" i="4"/>
  <c r="I345" i="4"/>
  <c r="H345" i="4"/>
  <c r="G345" i="4"/>
  <c r="F345" i="4"/>
  <c r="E345" i="4"/>
  <c r="D345" i="4"/>
  <c r="C345" i="4"/>
  <c r="B345" i="4"/>
  <c r="A345" i="4"/>
  <c r="I344" i="4"/>
  <c r="H344" i="4"/>
  <c r="G344" i="4"/>
  <c r="F344" i="4"/>
  <c r="E344" i="4"/>
  <c r="D344" i="4"/>
  <c r="C344" i="4"/>
  <c r="B344" i="4"/>
  <c r="A344" i="4"/>
  <c r="I343" i="4"/>
  <c r="H343" i="4"/>
  <c r="G343" i="4"/>
  <c r="F343" i="4"/>
  <c r="E343" i="4"/>
  <c r="D343" i="4"/>
  <c r="C343" i="4"/>
  <c r="B343" i="4"/>
  <c r="A343" i="4"/>
  <c r="I342" i="4"/>
  <c r="H342" i="4"/>
  <c r="G342" i="4"/>
  <c r="F342" i="4"/>
  <c r="E342" i="4"/>
  <c r="D342" i="4"/>
  <c r="C342" i="4"/>
  <c r="B342" i="4"/>
  <c r="A342" i="4"/>
  <c r="I341" i="4"/>
  <c r="H341" i="4"/>
  <c r="G341" i="4"/>
  <c r="F341" i="4"/>
  <c r="E341" i="4"/>
  <c r="D341" i="4"/>
  <c r="C341" i="4"/>
  <c r="B341" i="4"/>
  <c r="A341" i="4"/>
  <c r="I340" i="4"/>
  <c r="H340" i="4"/>
  <c r="G340" i="4"/>
  <c r="F340" i="4"/>
  <c r="E340" i="4"/>
  <c r="D340" i="4"/>
  <c r="C340" i="4"/>
  <c r="B340" i="4"/>
  <c r="A340" i="4"/>
  <c r="I339" i="4"/>
  <c r="H339" i="4"/>
  <c r="G339" i="4"/>
  <c r="F339" i="4"/>
  <c r="E339" i="4"/>
  <c r="D339" i="4"/>
  <c r="C339" i="4"/>
  <c r="B339" i="4"/>
  <c r="A339" i="4"/>
  <c r="I338" i="4"/>
  <c r="H338" i="4"/>
  <c r="G338" i="4"/>
  <c r="F338" i="4"/>
  <c r="E338" i="4"/>
  <c r="D338" i="4"/>
  <c r="C338" i="4"/>
  <c r="B338" i="4"/>
  <c r="A338" i="4"/>
  <c r="I337" i="4"/>
  <c r="H337" i="4"/>
  <c r="G337" i="4"/>
  <c r="F337" i="4"/>
  <c r="E337" i="4"/>
  <c r="D337" i="4"/>
  <c r="C337" i="4"/>
  <c r="B337" i="4"/>
  <c r="A337" i="4"/>
  <c r="I336" i="4"/>
  <c r="H336" i="4"/>
  <c r="G336" i="4"/>
  <c r="F336" i="4"/>
  <c r="E336" i="4"/>
  <c r="D336" i="4"/>
  <c r="C336" i="4"/>
  <c r="B336" i="4"/>
  <c r="A336" i="4"/>
  <c r="I335" i="4"/>
  <c r="H335" i="4"/>
  <c r="G335" i="4"/>
  <c r="F335" i="4"/>
  <c r="E335" i="4"/>
  <c r="D335" i="4"/>
  <c r="C335" i="4"/>
  <c r="B335" i="4"/>
  <c r="A335" i="4"/>
  <c r="I334" i="4"/>
  <c r="H334" i="4"/>
  <c r="G334" i="4"/>
  <c r="F334" i="4"/>
  <c r="E334" i="4"/>
  <c r="D334" i="4"/>
  <c r="C334" i="4"/>
  <c r="B334" i="4"/>
  <c r="A334" i="4"/>
  <c r="I333" i="4"/>
  <c r="H333" i="4"/>
  <c r="G333" i="4"/>
  <c r="F333" i="4"/>
  <c r="E333" i="4"/>
  <c r="D333" i="4"/>
  <c r="C333" i="4"/>
  <c r="B333" i="4"/>
  <c r="A333" i="4"/>
  <c r="I332" i="4"/>
  <c r="H332" i="4"/>
  <c r="G332" i="4"/>
  <c r="F332" i="4"/>
  <c r="E332" i="4"/>
  <c r="D332" i="4"/>
  <c r="C332" i="4"/>
  <c r="B332" i="4"/>
  <c r="A332" i="4"/>
  <c r="I331" i="4"/>
  <c r="H331" i="4"/>
  <c r="G331" i="4"/>
  <c r="F331" i="4"/>
  <c r="E331" i="4"/>
  <c r="D331" i="4"/>
  <c r="C331" i="4"/>
  <c r="B331" i="4"/>
  <c r="A331" i="4"/>
  <c r="I330" i="4"/>
  <c r="H330" i="4"/>
  <c r="G330" i="4"/>
  <c r="F330" i="4"/>
  <c r="E330" i="4"/>
  <c r="D330" i="4"/>
  <c r="C330" i="4"/>
  <c r="B330" i="4"/>
  <c r="A330" i="4"/>
  <c r="I329" i="4"/>
  <c r="H329" i="4"/>
  <c r="G329" i="4"/>
  <c r="F329" i="4"/>
  <c r="E329" i="4"/>
  <c r="D329" i="4"/>
  <c r="C329" i="4"/>
  <c r="B329" i="4"/>
  <c r="A329" i="4"/>
  <c r="I328" i="4"/>
  <c r="H328" i="4"/>
  <c r="G328" i="4"/>
  <c r="F328" i="4"/>
  <c r="E328" i="4"/>
  <c r="D328" i="4"/>
  <c r="C328" i="4"/>
  <c r="B328" i="4"/>
  <c r="A328" i="4"/>
  <c r="I327" i="4"/>
  <c r="H327" i="4"/>
  <c r="G327" i="4"/>
  <c r="F327" i="4"/>
  <c r="E327" i="4"/>
  <c r="D327" i="4"/>
  <c r="C327" i="4"/>
  <c r="B327" i="4"/>
  <c r="A327" i="4"/>
  <c r="I326" i="4"/>
  <c r="H326" i="4"/>
  <c r="G326" i="4"/>
  <c r="F326" i="4"/>
  <c r="E326" i="4"/>
  <c r="D326" i="4"/>
  <c r="C326" i="4"/>
  <c r="B326" i="4"/>
  <c r="A326" i="4"/>
  <c r="I325" i="4"/>
  <c r="H325" i="4"/>
  <c r="G325" i="4"/>
  <c r="F325" i="4"/>
  <c r="E325" i="4"/>
  <c r="D325" i="4"/>
  <c r="C325" i="4"/>
  <c r="B325" i="4"/>
  <c r="A325" i="4"/>
  <c r="I324" i="4"/>
  <c r="H324" i="4"/>
  <c r="G324" i="4"/>
  <c r="F324" i="4"/>
  <c r="E324" i="4"/>
  <c r="D324" i="4"/>
  <c r="C324" i="4"/>
  <c r="B324" i="4"/>
  <c r="A324" i="4"/>
  <c r="I323" i="4"/>
  <c r="H323" i="4"/>
  <c r="G323" i="4"/>
  <c r="F323" i="4"/>
  <c r="E323" i="4"/>
  <c r="D323" i="4"/>
  <c r="C323" i="4"/>
  <c r="B323" i="4"/>
  <c r="A323" i="4"/>
  <c r="I322" i="4"/>
  <c r="H322" i="4"/>
  <c r="G322" i="4"/>
  <c r="F322" i="4"/>
  <c r="E322" i="4"/>
  <c r="D322" i="4"/>
  <c r="C322" i="4"/>
  <c r="B322" i="4"/>
  <c r="A322" i="4"/>
  <c r="I321" i="4"/>
  <c r="H321" i="4"/>
  <c r="G321" i="4"/>
  <c r="F321" i="4"/>
  <c r="E321" i="4"/>
  <c r="D321" i="4"/>
  <c r="C321" i="4"/>
  <c r="B321" i="4"/>
  <c r="A321" i="4"/>
  <c r="I320" i="4"/>
  <c r="H320" i="4"/>
  <c r="G320" i="4"/>
  <c r="F320" i="4"/>
  <c r="E320" i="4"/>
  <c r="D320" i="4"/>
  <c r="C320" i="4"/>
  <c r="B320" i="4"/>
  <c r="A320" i="4"/>
  <c r="I319" i="4"/>
  <c r="H319" i="4"/>
  <c r="G319" i="4"/>
  <c r="F319" i="4"/>
  <c r="E319" i="4"/>
  <c r="D319" i="4"/>
  <c r="C319" i="4"/>
  <c r="B319" i="4"/>
  <c r="A319" i="4"/>
  <c r="I318" i="4"/>
  <c r="H318" i="4"/>
  <c r="G318" i="4"/>
  <c r="F318" i="4"/>
  <c r="E318" i="4"/>
  <c r="D318" i="4"/>
  <c r="C318" i="4"/>
  <c r="B318" i="4"/>
  <c r="A318" i="4"/>
  <c r="I317" i="4"/>
  <c r="H317" i="4"/>
  <c r="G317" i="4"/>
  <c r="F317" i="4"/>
  <c r="E317" i="4"/>
  <c r="D317" i="4"/>
  <c r="C317" i="4"/>
  <c r="B317" i="4"/>
  <c r="A317" i="4"/>
  <c r="I316" i="4"/>
  <c r="H316" i="4"/>
  <c r="G316" i="4"/>
  <c r="F316" i="4"/>
  <c r="E316" i="4"/>
  <c r="D316" i="4"/>
  <c r="C316" i="4"/>
  <c r="B316" i="4"/>
  <c r="A316" i="4"/>
  <c r="I315" i="4"/>
  <c r="H315" i="4"/>
  <c r="G315" i="4"/>
  <c r="F315" i="4"/>
  <c r="E315" i="4"/>
  <c r="D315" i="4"/>
  <c r="C315" i="4"/>
  <c r="B315" i="4"/>
  <c r="A315" i="4"/>
  <c r="I314" i="4"/>
  <c r="H314" i="4"/>
  <c r="G314" i="4"/>
  <c r="F314" i="4"/>
  <c r="E314" i="4"/>
  <c r="D314" i="4"/>
  <c r="C314" i="4"/>
  <c r="B314" i="4"/>
  <c r="A314" i="4"/>
  <c r="I313" i="4"/>
  <c r="H313" i="4"/>
  <c r="G313" i="4"/>
  <c r="F313" i="4"/>
  <c r="E313" i="4"/>
  <c r="D313" i="4"/>
  <c r="C313" i="4"/>
  <c r="B313" i="4"/>
  <c r="A313" i="4"/>
  <c r="I312" i="4"/>
  <c r="H312" i="4"/>
  <c r="G312" i="4"/>
  <c r="F312" i="4"/>
  <c r="E312" i="4"/>
  <c r="D312" i="4"/>
  <c r="C312" i="4"/>
  <c r="B312" i="4"/>
  <c r="A312" i="4"/>
  <c r="I311" i="4"/>
  <c r="H311" i="4"/>
  <c r="G311" i="4"/>
  <c r="F311" i="4"/>
  <c r="E311" i="4"/>
  <c r="D311" i="4"/>
  <c r="C311" i="4"/>
  <c r="B311" i="4"/>
  <c r="A311" i="4"/>
  <c r="I310" i="4"/>
  <c r="H310" i="4"/>
  <c r="G310" i="4"/>
  <c r="F310" i="4"/>
  <c r="E310" i="4"/>
  <c r="D310" i="4"/>
  <c r="C310" i="4"/>
  <c r="B310" i="4"/>
  <c r="A310" i="4"/>
  <c r="I309" i="4"/>
  <c r="H309" i="4"/>
  <c r="G309" i="4"/>
  <c r="F309" i="4"/>
  <c r="E309" i="4"/>
  <c r="D309" i="4"/>
  <c r="C309" i="4"/>
  <c r="B309" i="4"/>
  <c r="A309" i="4"/>
  <c r="I308" i="4"/>
  <c r="H308" i="4"/>
  <c r="G308" i="4"/>
  <c r="F308" i="4"/>
  <c r="E308" i="4"/>
  <c r="D308" i="4"/>
  <c r="C308" i="4"/>
  <c r="B308" i="4"/>
  <c r="A308" i="4"/>
  <c r="I307" i="4"/>
  <c r="H307" i="4"/>
  <c r="G307" i="4"/>
  <c r="F307" i="4"/>
  <c r="E307" i="4"/>
  <c r="D307" i="4"/>
  <c r="C307" i="4"/>
  <c r="B307" i="4"/>
  <c r="A307" i="4"/>
  <c r="I306" i="4"/>
  <c r="H306" i="4"/>
  <c r="G306" i="4"/>
  <c r="F306" i="4"/>
  <c r="E306" i="4"/>
  <c r="D306" i="4"/>
  <c r="C306" i="4"/>
  <c r="B306" i="4"/>
  <c r="A306" i="4"/>
  <c r="I305" i="4"/>
  <c r="H305" i="4"/>
  <c r="G305" i="4"/>
  <c r="F305" i="4"/>
  <c r="E305" i="4"/>
  <c r="D305" i="4"/>
  <c r="C305" i="4"/>
  <c r="B305" i="4"/>
  <c r="A305" i="4"/>
  <c r="I304" i="4"/>
  <c r="H304" i="4"/>
  <c r="G304" i="4"/>
  <c r="F304" i="4"/>
  <c r="E304" i="4"/>
  <c r="D304" i="4"/>
  <c r="C304" i="4"/>
  <c r="B304" i="4"/>
  <c r="A304" i="4"/>
  <c r="I303" i="4"/>
  <c r="H303" i="4"/>
  <c r="G303" i="4"/>
  <c r="F303" i="4"/>
  <c r="E303" i="4"/>
  <c r="D303" i="4"/>
  <c r="C303" i="4"/>
  <c r="B303" i="4"/>
  <c r="A303" i="4"/>
  <c r="I302" i="4"/>
  <c r="H302" i="4"/>
  <c r="G302" i="4"/>
  <c r="F302" i="4"/>
  <c r="E302" i="4"/>
  <c r="D302" i="4"/>
  <c r="C302" i="4"/>
  <c r="B302" i="4"/>
  <c r="A302" i="4"/>
  <c r="I301" i="4"/>
  <c r="H301" i="4"/>
  <c r="G301" i="4"/>
  <c r="F301" i="4"/>
  <c r="E301" i="4"/>
  <c r="D301" i="4"/>
  <c r="C301" i="4"/>
  <c r="B301" i="4"/>
  <c r="A301" i="4"/>
  <c r="I300" i="4"/>
  <c r="H300" i="4"/>
  <c r="G300" i="4"/>
  <c r="F300" i="4"/>
  <c r="E300" i="4"/>
  <c r="D300" i="4"/>
  <c r="C300" i="4"/>
  <c r="B300" i="4"/>
  <c r="A300" i="4"/>
  <c r="I299" i="4"/>
  <c r="H299" i="4"/>
  <c r="G299" i="4"/>
  <c r="F299" i="4"/>
  <c r="E299" i="4"/>
  <c r="D299" i="4"/>
  <c r="C299" i="4"/>
  <c r="B299" i="4"/>
  <c r="A299" i="4"/>
  <c r="I298" i="4"/>
  <c r="H298" i="4"/>
  <c r="G298" i="4"/>
  <c r="F298" i="4"/>
  <c r="E298" i="4"/>
  <c r="D298" i="4"/>
  <c r="C298" i="4"/>
  <c r="B298" i="4"/>
  <c r="A298" i="4"/>
  <c r="I297" i="4"/>
  <c r="H297" i="4"/>
  <c r="G297" i="4"/>
  <c r="F297" i="4"/>
  <c r="E297" i="4"/>
  <c r="D297" i="4"/>
  <c r="C297" i="4"/>
  <c r="B297" i="4"/>
  <c r="A297" i="4"/>
  <c r="I296" i="4"/>
  <c r="H296" i="4"/>
  <c r="G296" i="4"/>
  <c r="F296" i="4"/>
  <c r="E296" i="4"/>
  <c r="D296" i="4"/>
  <c r="C296" i="4"/>
  <c r="B296" i="4"/>
  <c r="A296" i="4"/>
  <c r="I295" i="4"/>
  <c r="H295" i="4"/>
  <c r="G295" i="4"/>
  <c r="F295" i="4"/>
  <c r="E295" i="4"/>
  <c r="D295" i="4"/>
  <c r="C295" i="4"/>
  <c r="B295" i="4"/>
  <c r="A295" i="4"/>
  <c r="I294" i="4"/>
  <c r="H294" i="4"/>
  <c r="G294" i="4"/>
  <c r="F294" i="4"/>
  <c r="E294" i="4"/>
  <c r="D294" i="4"/>
  <c r="C294" i="4"/>
  <c r="B294" i="4"/>
  <c r="A294" i="4"/>
  <c r="I293" i="4"/>
  <c r="H293" i="4"/>
  <c r="G293" i="4"/>
  <c r="F293" i="4"/>
  <c r="E293" i="4"/>
  <c r="D293" i="4"/>
  <c r="C293" i="4"/>
  <c r="B293" i="4"/>
  <c r="A293" i="4"/>
  <c r="I292" i="4"/>
  <c r="H292" i="4"/>
  <c r="G292" i="4"/>
  <c r="F292" i="4"/>
  <c r="E292" i="4"/>
  <c r="D292" i="4"/>
  <c r="C292" i="4"/>
  <c r="B292" i="4"/>
  <c r="A292" i="4"/>
  <c r="I291" i="4"/>
  <c r="H291" i="4"/>
  <c r="G291" i="4"/>
  <c r="F291" i="4"/>
  <c r="E291" i="4"/>
  <c r="D291" i="4"/>
  <c r="C291" i="4"/>
  <c r="B291" i="4"/>
  <c r="A291" i="4"/>
  <c r="I290" i="4"/>
  <c r="H290" i="4"/>
  <c r="G290" i="4"/>
  <c r="F290" i="4"/>
  <c r="E290" i="4"/>
  <c r="D290" i="4"/>
  <c r="C290" i="4"/>
  <c r="B290" i="4"/>
  <c r="A290" i="4"/>
  <c r="I289" i="4"/>
  <c r="H289" i="4"/>
  <c r="G289" i="4"/>
  <c r="F289" i="4"/>
  <c r="E289" i="4"/>
  <c r="D289" i="4"/>
  <c r="C289" i="4"/>
  <c r="B289" i="4"/>
  <c r="A289" i="4"/>
  <c r="I288" i="4"/>
  <c r="H288" i="4"/>
  <c r="G288" i="4"/>
  <c r="F288" i="4"/>
  <c r="E288" i="4"/>
  <c r="D288" i="4"/>
  <c r="C288" i="4"/>
  <c r="B288" i="4"/>
  <c r="A288" i="4"/>
  <c r="I287" i="4"/>
  <c r="H287" i="4"/>
  <c r="G287" i="4"/>
  <c r="F287" i="4"/>
  <c r="E287" i="4"/>
  <c r="D287" i="4"/>
  <c r="C287" i="4"/>
  <c r="B287" i="4"/>
  <c r="A287" i="4"/>
  <c r="I286" i="4"/>
  <c r="H286" i="4"/>
  <c r="G286" i="4"/>
  <c r="F286" i="4"/>
  <c r="E286" i="4"/>
  <c r="D286" i="4"/>
  <c r="C286" i="4"/>
  <c r="B286" i="4"/>
  <c r="A286" i="4"/>
  <c r="I285" i="4"/>
  <c r="H285" i="4"/>
  <c r="G285" i="4"/>
  <c r="F285" i="4"/>
  <c r="E285" i="4"/>
  <c r="D285" i="4"/>
  <c r="C285" i="4"/>
  <c r="B285" i="4"/>
  <c r="A285" i="4"/>
  <c r="I284" i="4"/>
  <c r="H284" i="4"/>
  <c r="G284" i="4"/>
  <c r="F284" i="4"/>
  <c r="E284" i="4"/>
  <c r="D284" i="4"/>
  <c r="C284" i="4"/>
  <c r="B284" i="4"/>
  <c r="A284" i="4"/>
  <c r="I283" i="4"/>
  <c r="H283" i="4"/>
  <c r="G283" i="4"/>
  <c r="F283" i="4"/>
  <c r="E283" i="4"/>
  <c r="D283" i="4"/>
  <c r="C283" i="4"/>
  <c r="B283" i="4"/>
  <c r="A283" i="4"/>
  <c r="I282" i="4"/>
  <c r="H282" i="4"/>
  <c r="G282" i="4"/>
  <c r="F282" i="4"/>
  <c r="E282" i="4"/>
  <c r="D282" i="4"/>
  <c r="C282" i="4"/>
  <c r="B282" i="4"/>
  <c r="A282" i="4"/>
  <c r="I281" i="4"/>
  <c r="H281" i="4"/>
  <c r="G281" i="4"/>
  <c r="F281" i="4"/>
  <c r="E281" i="4"/>
  <c r="D281" i="4"/>
  <c r="C281" i="4"/>
  <c r="B281" i="4"/>
  <c r="A281" i="4"/>
  <c r="I280" i="4"/>
  <c r="H280" i="4"/>
  <c r="G280" i="4"/>
  <c r="F280" i="4"/>
  <c r="E280" i="4"/>
  <c r="D280" i="4"/>
  <c r="C280" i="4"/>
  <c r="B280" i="4"/>
  <c r="A280" i="4"/>
  <c r="I279" i="4"/>
  <c r="H279" i="4"/>
  <c r="G279" i="4"/>
  <c r="F279" i="4"/>
  <c r="E279" i="4"/>
  <c r="D279" i="4"/>
  <c r="C279" i="4"/>
  <c r="B279" i="4"/>
  <c r="A279" i="4"/>
  <c r="I278" i="4"/>
  <c r="H278" i="4"/>
  <c r="G278" i="4"/>
  <c r="F278" i="4"/>
  <c r="E278" i="4"/>
  <c r="D278" i="4"/>
  <c r="C278" i="4"/>
  <c r="B278" i="4"/>
  <c r="A278" i="4"/>
  <c r="I277" i="4"/>
  <c r="H277" i="4"/>
  <c r="G277" i="4"/>
  <c r="F277" i="4"/>
  <c r="E277" i="4"/>
  <c r="D277" i="4"/>
  <c r="C277" i="4"/>
  <c r="B277" i="4"/>
  <c r="A277" i="4"/>
  <c r="I276" i="4"/>
  <c r="H276" i="4"/>
  <c r="G276" i="4"/>
  <c r="F276" i="4"/>
  <c r="E276" i="4"/>
  <c r="D276" i="4"/>
  <c r="C276" i="4"/>
  <c r="B276" i="4"/>
  <c r="A276" i="4"/>
  <c r="I275" i="4"/>
  <c r="H275" i="4"/>
  <c r="G275" i="4"/>
  <c r="F275" i="4"/>
  <c r="E275" i="4"/>
  <c r="D275" i="4"/>
  <c r="C275" i="4"/>
  <c r="B275" i="4"/>
  <c r="A275" i="4"/>
  <c r="I274" i="4"/>
  <c r="H274" i="4"/>
  <c r="G274" i="4"/>
  <c r="F274" i="4"/>
  <c r="E274" i="4"/>
  <c r="D274" i="4"/>
  <c r="C274" i="4"/>
  <c r="B274" i="4"/>
  <c r="A274" i="4"/>
  <c r="I273" i="4"/>
  <c r="H273" i="4"/>
  <c r="G273" i="4"/>
  <c r="F273" i="4"/>
  <c r="E273" i="4"/>
  <c r="D273" i="4"/>
  <c r="C273" i="4"/>
  <c r="B273" i="4"/>
  <c r="A273" i="4"/>
  <c r="I272" i="4"/>
  <c r="H272" i="4"/>
  <c r="G272" i="4"/>
  <c r="F272" i="4"/>
  <c r="E272" i="4"/>
  <c r="D272" i="4"/>
  <c r="C272" i="4"/>
  <c r="B272" i="4"/>
  <c r="A272" i="4"/>
  <c r="I271" i="4"/>
  <c r="H271" i="4"/>
  <c r="G271" i="4"/>
  <c r="F271" i="4"/>
  <c r="E271" i="4"/>
  <c r="D271" i="4"/>
  <c r="C271" i="4"/>
  <c r="B271" i="4"/>
  <c r="A271" i="4"/>
  <c r="I270" i="4"/>
  <c r="H270" i="4"/>
  <c r="G270" i="4"/>
  <c r="F270" i="4"/>
  <c r="E270" i="4"/>
  <c r="D270" i="4"/>
  <c r="C270" i="4"/>
  <c r="B270" i="4"/>
  <c r="A270" i="4"/>
  <c r="I269" i="4"/>
  <c r="H269" i="4"/>
  <c r="G269" i="4"/>
  <c r="F269" i="4"/>
  <c r="E269" i="4"/>
  <c r="D269" i="4"/>
  <c r="C269" i="4"/>
  <c r="B269" i="4"/>
  <c r="A269" i="4"/>
  <c r="I268" i="4"/>
  <c r="H268" i="4"/>
  <c r="G268" i="4"/>
  <c r="F268" i="4"/>
  <c r="E268" i="4"/>
  <c r="D268" i="4"/>
  <c r="C268" i="4"/>
  <c r="B268" i="4"/>
  <c r="A268" i="4"/>
  <c r="I267" i="4"/>
  <c r="H267" i="4"/>
  <c r="G267" i="4"/>
  <c r="F267" i="4"/>
  <c r="E267" i="4"/>
  <c r="D267" i="4"/>
  <c r="C267" i="4"/>
  <c r="B267" i="4"/>
  <c r="A267" i="4"/>
  <c r="I266" i="4"/>
  <c r="H266" i="4"/>
  <c r="G266" i="4"/>
  <c r="F266" i="4"/>
  <c r="E266" i="4"/>
  <c r="D266" i="4"/>
  <c r="C266" i="4"/>
  <c r="B266" i="4"/>
  <c r="A266" i="4"/>
  <c r="I265" i="4"/>
  <c r="H265" i="4"/>
  <c r="G265" i="4"/>
  <c r="F265" i="4"/>
  <c r="E265" i="4"/>
  <c r="D265" i="4"/>
  <c r="C265" i="4"/>
  <c r="B265" i="4"/>
  <c r="A265" i="4"/>
  <c r="I264" i="4"/>
  <c r="H264" i="4"/>
  <c r="G264" i="4"/>
  <c r="F264" i="4"/>
  <c r="E264" i="4"/>
  <c r="D264" i="4"/>
  <c r="C264" i="4"/>
  <c r="B264" i="4"/>
  <c r="A264" i="4"/>
  <c r="I263" i="4"/>
  <c r="H263" i="4"/>
  <c r="G263" i="4"/>
  <c r="F263" i="4"/>
  <c r="E263" i="4"/>
  <c r="D263" i="4"/>
  <c r="C263" i="4"/>
  <c r="B263" i="4"/>
  <c r="A263" i="4"/>
  <c r="I262" i="4"/>
  <c r="H262" i="4"/>
  <c r="G262" i="4"/>
  <c r="F262" i="4"/>
  <c r="E262" i="4"/>
  <c r="D262" i="4"/>
  <c r="C262" i="4"/>
  <c r="B262" i="4"/>
  <c r="A262" i="4"/>
  <c r="I261" i="4"/>
  <c r="H261" i="4"/>
  <c r="G261" i="4"/>
  <c r="F261" i="4"/>
  <c r="E261" i="4"/>
  <c r="D261" i="4"/>
  <c r="C261" i="4"/>
  <c r="B261" i="4"/>
  <c r="A261" i="4"/>
  <c r="I260" i="4"/>
  <c r="H260" i="4"/>
  <c r="G260" i="4"/>
  <c r="F260" i="4"/>
  <c r="E260" i="4"/>
  <c r="D260" i="4"/>
  <c r="C260" i="4"/>
  <c r="B260" i="4"/>
  <c r="A260" i="4"/>
  <c r="I259" i="4"/>
  <c r="H259" i="4"/>
  <c r="G259" i="4"/>
  <c r="F259" i="4"/>
  <c r="E259" i="4"/>
  <c r="D259" i="4"/>
  <c r="C259" i="4"/>
  <c r="B259" i="4"/>
  <c r="A259" i="4"/>
  <c r="I258" i="4"/>
  <c r="H258" i="4"/>
  <c r="G258" i="4"/>
  <c r="F258" i="4"/>
  <c r="E258" i="4"/>
  <c r="D258" i="4"/>
  <c r="C258" i="4"/>
  <c r="B258" i="4"/>
  <c r="A258" i="4"/>
  <c r="I257" i="4"/>
  <c r="H257" i="4"/>
  <c r="G257" i="4"/>
  <c r="F257" i="4"/>
  <c r="E257" i="4"/>
  <c r="D257" i="4"/>
  <c r="C257" i="4"/>
  <c r="B257" i="4"/>
  <c r="A257" i="4"/>
  <c r="I256" i="4"/>
  <c r="H256" i="4"/>
  <c r="G256" i="4"/>
  <c r="F256" i="4"/>
  <c r="E256" i="4"/>
  <c r="D256" i="4"/>
  <c r="C256" i="4"/>
  <c r="B256" i="4"/>
  <c r="A256" i="4"/>
  <c r="I255" i="4"/>
  <c r="H255" i="4"/>
  <c r="G255" i="4"/>
  <c r="F255" i="4"/>
  <c r="E255" i="4"/>
  <c r="D255" i="4"/>
  <c r="C255" i="4"/>
  <c r="B255" i="4"/>
  <c r="A255" i="4"/>
  <c r="I254" i="4"/>
  <c r="H254" i="4"/>
  <c r="G254" i="4"/>
  <c r="F254" i="4"/>
  <c r="E254" i="4"/>
  <c r="D254" i="4"/>
  <c r="C254" i="4"/>
  <c r="B254" i="4"/>
  <c r="A254" i="4"/>
  <c r="I253" i="4"/>
  <c r="H253" i="4"/>
  <c r="G253" i="4"/>
  <c r="F253" i="4"/>
  <c r="E253" i="4"/>
  <c r="D253" i="4"/>
  <c r="C253" i="4"/>
  <c r="B253" i="4"/>
  <c r="A253" i="4"/>
  <c r="I252" i="4"/>
  <c r="H252" i="4"/>
  <c r="G252" i="4"/>
  <c r="F252" i="4"/>
  <c r="E252" i="4"/>
  <c r="D252" i="4"/>
  <c r="C252" i="4"/>
  <c r="B252" i="4"/>
  <c r="A252" i="4"/>
  <c r="I251" i="4"/>
  <c r="H251" i="4"/>
  <c r="G251" i="4"/>
  <c r="F251" i="4"/>
  <c r="E251" i="4"/>
  <c r="D251" i="4"/>
  <c r="C251" i="4"/>
  <c r="B251" i="4"/>
  <c r="A251" i="4"/>
  <c r="I250" i="4"/>
  <c r="H250" i="4"/>
  <c r="G250" i="4"/>
  <c r="F250" i="4"/>
  <c r="E250" i="4"/>
  <c r="D250" i="4"/>
  <c r="C250" i="4"/>
  <c r="B250" i="4"/>
  <c r="A250" i="4"/>
  <c r="I249" i="4"/>
  <c r="H249" i="4"/>
  <c r="G249" i="4"/>
  <c r="F249" i="4"/>
  <c r="E249" i="4"/>
  <c r="D249" i="4"/>
  <c r="C249" i="4"/>
  <c r="B249" i="4"/>
  <c r="A249" i="4"/>
  <c r="I248" i="4"/>
  <c r="H248" i="4"/>
  <c r="G248" i="4"/>
  <c r="F248" i="4"/>
  <c r="E248" i="4"/>
  <c r="D248" i="4"/>
  <c r="C248" i="4"/>
  <c r="B248" i="4"/>
  <c r="A248" i="4"/>
  <c r="I247" i="4"/>
  <c r="H247" i="4"/>
  <c r="G247" i="4"/>
  <c r="F247" i="4"/>
  <c r="E247" i="4"/>
  <c r="D247" i="4"/>
  <c r="C247" i="4"/>
  <c r="B247" i="4"/>
  <c r="A247" i="4"/>
  <c r="I246" i="4"/>
  <c r="H246" i="4"/>
  <c r="G246" i="4"/>
  <c r="F246" i="4"/>
  <c r="E246" i="4"/>
  <c r="D246" i="4"/>
  <c r="C246" i="4"/>
  <c r="B246" i="4"/>
  <c r="A246" i="4"/>
  <c r="I245" i="4"/>
  <c r="H245" i="4"/>
  <c r="G245" i="4"/>
  <c r="F245" i="4"/>
  <c r="E245" i="4"/>
  <c r="D245" i="4"/>
  <c r="C245" i="4"/>
  <c r="B245" i="4"/>
  <c r="A245" i="4"/>
  <c r="I244" i="4"/>
  <c r="H244" i="4"/>
  <c r="G244" i="4"/>
  <c r="F244" i="4"/>
  <c r="E244" i="4"/>
  <c r="D244" i="4"/>
  <c r="C244" i="4"/>
  <c r="B244" i="4"/>
  <c r="A244" i="4"/>
  <c r="I243" i="4"/>
  <c r="H243" i="4"/>
  <c r="G243" i="4"/>
  <c r="F243" i="4"/>
  <c r="E243" i="4"/>
  <c r="D243" i="4"/>
  <c r="C243" i="4"/>
  <c r="B243" i="4"/>
  <c r="A243" i="4"/>
  <c r="I242" i="4"/>
  <c r="H242" i="4"/>
  <c r="G242" i="4"/>
  <c r="F242" i="4"/>
  <c r="E242" i="4"/>
  <c r="D242" i="4"/>
  <c r="C242" i="4"/>
  <c r="B242" i="4"/>
  <c r="A242" i="4"/>
  <c r="I241" i="4"/>
  <c r="H241" i="4"/>
  <c r="G241" i="4"/>
  <c r="F241" i="4"/>
  <c r="E241" i="4"/>
  <c r="D241" i="4"/>
  <c r="C241" i="4"/>
  <c r="B241" i="4"/>
  <c r="A241" i="4"/>
  <c r="I240" i="4"/>
  <c r="H240" i="4"/>
  <c r="G240" i="4"/>
  <c r="F240" i="4"/>
  <c r="E240" i="4"/>
  <c r="D240" i="4"/>
  <c r="C240" i="4"/>
  <c r="B240" i="4"/>
  <c r="A240" i="4"/>
  <c r="I239" i="4"/>
  <c r="H239" i="4"/>
  <c r="G239" i="4"/>
  <c r="F239" i="4"/>
  <c r="E239" i="4"/>
  <c r="D239" i="4"/>
  <c r="C239" i="4"/>
  <c r="B239" i="4"/>
  <c r="A239" i="4"/>
  <c r="I238" i="4"/>
  <c r="H238" i="4"/>
  <c r="G238" i="4"/>
  <c r="F238" i="4"/>
  <c r="E238" i="4"/>
  <c r="D238" i="4"/>
  <c r="C238" i="4"/>
  <c r="B238" i="4"/>
  <c r="A238" i="4"/>
  <c r="I237" i="4"/>
  <c r="H237" i="4"/>
  <c r="G237" i="4"/>
  <c r="F237" i="4"/>
  <c r="E237" i="4"/>
  <c r="D237" i="4"/>
  <c r="C237" i="4"/>
  <c r="B237" i="4"/>
  <c r="A237" i="4"/>
  <c r="I236" i="4"/>
  <c r="H236" i="4"/>
  <c r="G236" i="4"/>
  <c r="F236" i="4"/>
  <c r="E236" i="4"/>
  <c r="D236" i="4"/>
  <c r="C236" i="4"/>
  <c r="B236" i="4"/>
  <c r="A236" i="4"/>
  <c r="I235" i="4"/>
  <c r="H235" i="4"/>
  <c r="G235" i="4"/>
  <c r="F235" i="4"/>
  <c r="E235" i="4"/>
  <c r="D235" i="4"/>
  <c r="C235" i="4"/>
  <c r="B235" i="4"/>
  <c r="A235" i="4"/>
  <c r="I234" i="4"/>
  <c r="H234" i="4"/>
  <c r="G234" i="4"/>
  <c r="F234" i="4"/>
  <c r="E234" i="4"/>
  <c r="D234" i="4"/>
  <c r="C234" i="4"/>
  <c r="B234" i="4"/>
  <c r="A234" i="4"/>
  <c r="I233" i="4"/>
  <c r="H233" i="4"/>
  <c r="G233" i="4"/>
  <c r="F233" i="4"/>
  <c r="E233" i="4"/>
  <c r="D233" i="4"/>
  <c r="C233" i="4"/>
  <c r="B233" i="4"/>
  <c r="A233" i="4"/>
  <c r="I232" i="4"/>
  <c r="H232" i="4"/>
  <c r="G232" i="4"/>
  <c r="F232" i="4"/>
  <c r="E232" i="4"/>
  <c r="D232" i="4"/>
  <c r="C232" i="4"/>
  <c r="B232" i="4"/>
  <c r="A232" i="4"/>
  <c r="I231" i="4"/>
  <c r="H231" i="4"/>
  <c r="G231" i="4"/>
  <c r="F231" i="4"/>
  <c r="E231" i="4"/>
  <c r="D231" i="4"/>
  <c r="C231" i="4"/>
  <c r="B231" i="4"/>
  <c r="A231" i="4"/>
  <c r="I230" i="4"/>
  <c r="H230" i="4"/>
  <c r="G230" i="4"/>
  <c r="F230" i="4"/>
  <c r="E230" i="4"/>
  <c r="D230" i="4"/>
  <c r="C230" i="4"/>
  <c r="B230" i="4"/>
  <c r="A230" i="4"/>
  <c r="I229" i="4"/>
  <c r="H229" i="4"/>
  <c r="G229" i="4"/>
  <c r="F229" i="4"/>
  <c r="E229" i="4"/>
  <c r="D229" i="4"/>
  <c r="C229" i="4"/>
  <c r="B229" i="4"/>
  <c r="A229" i="4"/>
  <c r="I228" i="4"/>
  <c r="H228" i="4"/>
  <c r="G228" i="4"/>
  <c r="F228" i="4"/>
  <c r="E228" i="4"/>
  <c r="D228" i="4"/>
  <c r="C228" i="4"/>
  <c r="B228" i="4"/>
  <c r="A228" i="4"/>
  <c r="I227" i="4"/>
  <c r="H227" i="4"/>
  <c r="G227" i="4"/>
  <c r="F227" i="4"/>
  <c r="E227" i="4"/>
  <c r="D227" i="4"/>
  <c r="C227" i="4"/>
  <c r="B227" i="4"/>
  <c r="A227" i="4"/>
  <c r="I226" i="4"/>
  <c r="H226" i="4"/>
  <c r="G226" i="4"/>
  <c r="F226" i="4"/>
  <c r="E226" i="4"/>
  <c r="D226" i="4"/>
  <c r="C226" i="4"/>
  <c r="B226" i="4"/>
  <c r="A226" i="4"/>
  <c r="I225" i="4"/>
  <c r="H225" i="4"/>
  <c r="G225" i="4"/>
  <c r="F225" i="4"/>
  <c r="E225" i="4"/>
  <c r="D225" i="4"/>
  <c r="C225" i="4"/>
  <c r="B225" i="4"/>
  <c r="A225" i="4"/>
  <c r="I224" i="4"/>
  <c r="H224" i="4"/>
  <c r="G224" i="4"/>
  <c r="F224" i="4"/>
  <c r="E224" i="4"/>
  <c r="D224" i="4"/>
  <c r="C224" i="4"/>
  <c r="B224" i="4"/>
  <c r="A224" i="4"/>
  <c r="I223" i="4"/>
  <c r="H223" i="4"/>
  <c r="G223" i="4"/>
  <c r="F223" i="4"/>
  <c r="E223" i="4"/>
  <c r="D223" i="4"/>
  <c r="C223" i="4"/>
  <c r="B223" i="4"/>
  <c r="A223" i="4"/>
  <c r="I222" i="4"/>
  <c r="H222" i="4"/>
  <c r="G222" i="4"/>
  <c r="F222" i="4"/>
  <c r="E222" i="4"/>
  <c r="D222" i="4"/>
  <c r="C222" i="4"/>
  <c r="B222" i="4"/>
  <c r="A222" i="4"/>
  <c r="I221" i="4"/>
  <c r="H221" i="4"/>
  <c r="G221" i="4"/>
  <c r="F221" i="4"/>
  <c r="E221" i="4"/>
  <c r="D221" i="4"/>
  <c r="C221" i="4"/>
  <c r="B221" i="4"/>
  <c r="A221" i="4"/>
  <c r="I220" i="4"/>
  <c r="H220" i="4"/>
  <c r="G220" i="4"/>
  <c r="F220" i="4"/>
  <c r="E220" i="4"/>
  <c r="D220" i="4"/>
  <c r="C220" i="4"/>
  <c r="B220" i="4"/>
  <c r="A220" i="4"/>
  <c r="I219" i="4"/>
  <c r="H219" i="4"/>
  <c r="G219" i="4"/>
  <c r="F219" i="4"/>
  <c r="E219" i="4"/>
  <c r="D219" i="4"/>
  <c r="C219" i="4"/>
  <c r="B219" i="4"/>
  <c r="A219" i="4"/>
  <c r="I218" i="4"/>
  <c r="H218" i="4"/>
  <c r="G218" i="4"/>
  <c r="F218" i="4"/>
  <c r="E218" i="4"/>
  <c r="D218" i="4"/>
  <c r="C218" i="4"/>
  <c r="B218" i="4"/>
  <c r="A218" i="4"/>
  <c r="I217" i="4"/>
  <c r="H217" i="4"/>
  <c r="G217" i="4"/>
  <c r="F217" i="4"/>
  <c r="E217" i="4"/>
  <c r="D217" i="4"/>
  <c r="C217" i="4"/>
  <c r="B217" i="4"/>
  <c r="A217" i="4"/>
  <c r="I216" i="4"/>
  <c r="H216" i="4"/>
  <c r="G216" i="4"/>
  <c r="F216" i="4"/>
  <c r="E216" i="4"/>
  <c r="D216" i="4"/>
  <c r="C216" i="4"/>
  <c r="B216" i="4"/>
  <c r="A216" i="4"/>
  <c r="I215" i="4"/>
  <c r="H215" i="4"/>
  <c r="G215" i="4"/>
  <c r="F215" i="4"/>
  <c r="E215" i="4"/>
  <c r="D215" i="4"/>
  <c r="C215" i="4"/>
  <c r="B215" i="4"/>
  <c r="A215" i="4"/>
  <c r="I214" i="4"/>
  <c r="H214" i="4"/>
  <c r="G214" i="4"/>
  <c r="F214" i="4"/>
  <c r="E214" i="4"/>
  <c r="D214" i="4"/>
  <c r="C214" i="4"/>
  <c r="B214" i="4"/>
  <c r="A214" i="4"/>
  <c r="I213" i="4"/>
  <c r="H213" i="4"/>
  <c r="G213" i="4"/>
  <c r="F213" i="4"/>
  <c r="E213" i="4"/>
  <c r="D213" i="4"/>
  <c r="C213" i="4"/>
  <c r="B213" i="4"/>
  <c r="A213" i="4"/>
  <c r="I212" i="4"/>
  <c r="H212" i="4"/>
  <c r="G212" i="4"/>
  <c r="F212" i="4"/>
  <c r="E212" i="4"/>
  <c r="D212" i="4"/>
  <c r="C212" i="4"/>
  <c r="B212" i="4"/>
  <c r="A212" i="4"/>
  <c r="I211" i="4"/>
  <c r="H211" i="4"/>
  <c r="G211" i="4"/>
  <c r="F211" i="4"/>
  <c r="E211" i="4"/>
  <c r="D211" i="4"/>
  <c r="C211" i="4"/>
  <c r="B211" i="4"/>
  <c r="A211" i="4"/>
  <c r="I210" i="4"/>
  <c r="H210" i="4"/>
  <c r="G210" i="4"/>
  <c r="F210" i="4"/>
  <c r="E210" i="4"/>
  <c r="D210" i="4"/>
  <c r="C210" i="4"/>
  <c r="B210" i="4"/>
  <c r="A210" i="4"/>
  <c r="I209" i="4"/>
  <c r="G209" i="4"/>
  <c r="F209" i="4"/>
  <c r="E209" i="4"/>
  <c r="D209" i="4"/>
  <c r="C209" i="4"/>
  <c r="B209" i="4"/>
  <c r="A209" i="4"/>
  <c r="I208" i="4"/>
  <c r="G208" i="4"/>
  <c r="F208" i="4"/>
  <c r="E208" i="4"/>
  <c r="D208" i="4"/>
  <c r="C208" i="4"/>
  <c r="B208" i="4"/>
  <c r="A208" i="4"/>
  <c r="I207" i="4"/>
  <c r="G207" i="4"/>
  <c r="F207" i="4"/>
  <c r="E207" i="4"/>
  <c r="D207" i="4"/>
  <c r="C207" i="4"/>
  <c r="B207" i="4"/>
  <c r="A207" i="4"/>
  <c r="I206" i="4"/>
  <c r="G206" i="4"/>
  <c r="F206" i="4"/>
  <c r="E206" i="4"/>
  <c r="D206" i="4"/>
  <c r="C206" i="4"/>
  <c r="B206" i="4"/>
  <c r="A206" i="4"/>
  <c r="I205" i="4"/>
  <c r="H205" i="4"/>
  <c r="G205" i="4"/>
  <c r="F205" i="4"/>
  <c r="E205" i="4"/>
  <c r="D205" i="4"/>
  <c r="C205" i="4"/>
  <c r="B205" i="4"/>
  <c r="A205" i="4"/>
  <c r="I204" i="4"/>
  <c r="H204" i="4"/>
  <c r="G204" i="4"/>
  <c r="F204" i="4"/>
  <c r="E204" i="4"/>
  <c r="D204" i="4"/>
  <c r="C204" i="4"/>
  <c r="B204" i="4"/>
  <c r="A204" i="4"/>
  <c r="I203" i="4"/>
  <c r="H203" i="4"/>
  <c r="G203" i="4"/>
  <c r="F203" i="4"/>
  <c r="E203" i="4"/>
  <c r="D203" i="4"/>
  <c r="C203" i="4"/>
  <c r="B203" i="4"/>
  <c r="A203" i="4"/>
  <c r="I202" i="4"/>
  <c r="H202" i="4"/>
  <c r="G202" i="4"/>
  <c r="F202" i="4"/>
  <c r="E202" i="4"/>
  <c r="D202" i="4"/>
  <c r="C202" i="4"/>
  <c r="B202" i="4"/>
  <c r="A202" i="4"/>
  <c r="I201" i="4"/>
  <c r="H201" i="4"/>
  <c r="G201" i="4"/>
  <c r="F201" i="4"/>
  <c r="E201" i="4"/>
  <c r="D201" i="4"/>
  <c r="C201" i="4"/>
  <c r="B201" i="4"/>
  <c r="A201" i="4"/>
  <c r="I200" i="4"/>
  <c r="H200" i="4"/>
  <c r="G200" i="4"/>
  <c r="F200" i="4"/>
  <c r="E200" i="4"/>
  <c r="D200" i="4"/>
  <c r="C200" i="4"/>
  <c r="B200" i="4"/>
  <c r="A200" i="4"/>
  <c r="I199" i="4"/>
  <c r="H199" i="4"/>
  <c r="G199" i="4"/>
  <c r="F199" i="4"/>
  <c r="E199" i="4"/>
  <c r="D199" i="4"/>
  <c r="C199" i="4"/>
  <c r="B199" i="4"/>
  <c r="A199" i="4"/>
  <c r="I198" i="4"/>
  <c r="H198" i="4"/>
  <c r="G198" i="4"/>
  <c r="F198" i="4"/>
  <c r="E198" i="4"/>
  <c r="D198" i="4"/>
  <c r="C198" i="4"/>
  <c r="B198" i="4"/>
  <c r="A198" i="4"/>
  <c r="I197" i="4"/>
  <c r="H197" i="4"/>
  <c r="G197" i="4"/>
  <c r="F197" i="4"/>
  <c r="E197" i="4"/>
  <c r="D197" i="4"/>
  <c r="C197" i="4"/>
  <c r="B197" i="4"/>
  <c r="A197" i="4"/>
  <c r="I196" i="4"/>
  <c r="H196" i="4"/>
  <c r="G196" i="4"/>
  <c r="F196" i="4"/>
  <c r="E196" i="4"/>
  <c r="D196" i="4"/>
  <c r="C196" i="4"/>
  <c r="B196" i="4"/>
  <c r="A196" i="4"/>
  <c r="I195" i="4"/>
  <c r="H195" i="4"/>
  <c r="G195" i="4"/>
  <c r="F195" i="4"/>
  <c r="E195" i="4"/>
  <c r="D195" i="4"/>
  <c r="C195" i="4"/>
  <c r="B195" i="4"/>
  <c r="A195" i="4"/>
  <c r="I194" i="4"/>
  <c r="H194" i="4"/>
  <c r="G194" i="4"/>
  <c r="F194" i="4"/>
  <c r="E194" i="4"/>
  <c r="D194" i="4"/>
  <c r="C194" i="4"/>
  <c r="B194" i="4"/>
  <c r="A194" i="4"/>
  <c r="I193" i="4"/>
  <c r="H193" i="4"/>
  <c r="G193" i="4"/>
  <c r="F193" i="4"/>
  <c r="E193" i="4"/>
  <c r="D193" i="4"/>
  <c r="C193" i="4"/>
  <c r="B193" i="4"/>
  <c r="A193" i="4"/>
  <c r="I192" i="4"/>
  <c r="H192" i="4"/>
  <c r="G192" i="4"/>
  <c r="F192" i="4"/>
  <c r="E192" i="4"/>
  <c r="D192" i="4"/>
  <c r="C192" i="4"/>
  <c r="B192" i="4"/>
  <c r="A192" i="4"/>
  <c r="I191" i="4"/>
  <c r="H191" i="4"/>
  <c r="G191" i="4"/>
  <c r="F191" i="4"/>
  <c r="E191" i="4"/>
  <c r="D191" i="4"/>
  <c r="C191" i="4"/>
  <c r="B191" i="4"/>
  <c r="A191" i="4"/>
  <c r="I190" i="4"/>
  <c r="H190" i="4"/>
  <c r="G190" i="4"/>
  <c r="F190" i="4"/>
  <c r="E190" i="4"/>
  <c r="D190" i="4"/>
  <c r="C190" i="4"/>
  <c r="B190" i="4"/>
  <c r="A190" i="4"/>
  <c r="I189" i="4"/>
  <c r="H189" i="4"/>
  <c r="G189" i="4"/>
  <c r="F189" i="4"/>
  <c r="E189" i="4"/>
  <c r="D189" i="4"/>
  <c r="C189" i="4"/>
  <c r="B189" i="4"/>
  <c r="A189" i="4"/>
  <c r="I188" i="4"/>
  <c r="H188" i="4"/>
  <c r="G188" i="4"/>
  <c r="F188" i="4"/>
  <c r="E188" i="4"/>
  <c r="D188" i="4"/>
  <c r="C188" i="4"/>
  <c r="B188" i="4"/>
  <c r="A188" i="4"/>
  <c r="I187" i="4"/>
  <c r="H187" i="4"/>
  <c r="G187" i="4"/>
  <c r="F187" i="4"/>
  <c r="E187" i="4"/>
  <c r="D187" i="4"/>
  <c r="C187" i="4"/>
  <c r="B187" i="4"/>
  <c r="A187" i="4"/>
  <c r="I186" i="4"/>
  <c r="H186" i="4"/>
  <c r="G186" i="4"/>
  <c r="F186" i="4"/>
  <c r="E186" i="4"/>
  <c r="D186" i="4"/>
  <c r="C186" i="4"/>
  <c r="B186" i="4"/>
  <c r="A186" i="4"/>
  <c r="I185" i="4"/>
  <c r="H185" i="4"/>
  <c r="G185" i="4"/>
  <c r="F185" i="4"/>
  <c r="E185" i="4"/>
  <c r="D185" i="4"/>
  <c r="C185" i="4"/>
  <c r="B185" i="4"/>
  <c r="A185" i="4"/>
  <c r="I184" i="4"/>
  <c r="H184" i="4"/>
  <c r="G184" i="4"/>
  <c r="F184" i="4"/>
  <c r="E184" i="4"/>
  <c r="D184" i="4"/>
  <c r="C184" i="4"/>
  <c r="B184" i="4"/>
  <c r="A184" i="4"/>
  <c r="I183" i="4"/>
  <c r="H183" i="4"/>
  <c r="G183" i="4"/>
  <c r="F183" i="4"/>
  <c r="E183" i="4"/>
  <c r="D183" i="4"/>
  <c r="C183" i="4"/>
  <c r="B183" i="4"/>
  <c r="A183" i="4"/>
  <c r="I182" i="4"/>
  <c r="H182" i="4"/>
  <c r="G182" i="4"/>
  <c r="F182" i="4"/>
  <c r="E182" i="4"/>
  <c r="D182" i="4"/>
  <c r="C182" i="4"/>
  <c r="B182" i="4"/>
  <c r="A182" i="4"/>
  <c r="I181" i="4"/>
  <c r="H181" i="4"/>
  <c r="G181" i="4"/>
  <c r="F181" i="4"/>
  <c r="E181" i="4"/>
  <c r="D181" i="4"/>
  <c r="C181" i="4"/>
  <c r="B181" i="4"/>
  <c r="A181" i="4"/>
  <c r="I180" i="4"/>
  <c r="H180" i="4"/>
  <c r="G180" i="4"/>
  <c r="F180" i="4"/>
  <c r="E180" i="4"/>
  <c r="D180" i="4"/>
  <c r="C180" i="4"/>
  <c r="B180" i="4"/>
  <c r="A180" i="4"/>
  <c r="I179" i="4"/>
  <c r="H179" i="4"/>
  <c r="G179" i="4"/>
  <c r="F179" i="4"/>
  <c r="E179" i="4"/>
  <c r="D179" i="4"/>
  <c r="C179" i="4"/>
  <c r="B179" i="4"/>
  <c r="A179" i="4"/>
  <c r="I178" i="4"/>
  <c r="H178" i="4"/>
  <c r="G178" i="4"/>
  <c r="F178" i="4"/>
  <c r="E178" i="4"/>
  <c r="D178" i="4"/>
  <c r="C178" i="4"/>
  <c r="B178" i="4"/>
  <c r="A178" i="4"/>
  <c r="I177" i="4"/>
  <c r="H177" i="4"/>
  <c r="G177" i="4"/>
  <c r="F177" i="4"/>
  <c r="E177" i="4"/>
  <c r="D177" i="4"/>
  <c r="C177" i="4"/>
  <c r="B177" i="4"/>
  <c r="A177" i="4"/>
  <c r="I176" i="4"/>
  <c r="H176" i="4"/>
  <c r="G176" i="4"/>
  <c r="F176" i="4"/>
  <c r="E176" i="4"/>
  <c r="D176" i="4"/>
  <c r="C176" i="4"/>
  <c r="B176" i="4"/>
  <c r="A176" i="4"/>
  <c r="I175" i="4"/>
  <c r="H175" i="4"/>
  <c r="G175" i="4"/>
  <c r="F175" i="4"/>
  <c r="E175" i="4"/>
  <c r="D175" i="4"/>
  <c r="C175" i="4"/>
  <c r="B175" i="4"/>
  <c r="A175" i="4"/>
  <c r="I174" i="4"/>
  <c r="H174" i="4"/>
  <c r="G174" i="4"/>
  <c r="F174" i="4"/>
  <c r="E174" i="4"/>
  <c r="D174" i="4"/>
  <c r="C174" i="4"/>
  <c r="B174" i="4"/>
  <c r="A174" i="4"/>
  <c r="I173" i="4"/>
  <c r="H173" i="4"/>
  <c r="G173" i="4"/>
  <c r="F173" i="4"/>
  <c r="E173" i="4"/>
  <c r="D173" i="4"/>
  <c r="C173" i="4"/>
  <c r="B173" i="4"/>
  <c r="A173" i="4"/>
  <c r="I172" i="4"/>
  <c r="H172" i="4"/>
  <c r="G172" i="4"/>
  <c r="F172" i="4"/>
  <c r="E172" i="4"/>
  <c r="D172" i="4"/>
  <c r="C172" i="4"/>
  <c r="B172" i="4"/>
  <c r="A172" i="4"/>
  <c r="I171" i="4"/>
  <c r="H171" i="4"/>
  <c r="G171" i="4"/>
  <c r="F171" i="4"/>
  <c r="E171" i="4"/>
  <c r="D171" i="4"/>
  <c r="C171" i="4"/>
  <c r="B171" i="4"/>
  <c r="A171" i="4"/>
  <c r="I170" i="4"/>
  <c r="H170" i="4"/>
  <c r="G170" i="4"/>
  <c r="F170" i="4"/>
  <c r="E170" i="4"/>
  <c r="D170" i="4"/>
  <c r="C170" i="4"/>
  <c r="B170" i="4"/>
  <c r="A170" i="4"/>
  <c r="I169" i="4"/>
  <c r="H169" i="4"/>
  <c r="G169" i="4"/>
  <c r="F169" i="4"/>
  <c r="E169" i="4"/>
  <c r="D169" i="4"/>
  <c r="C169" i="4"/>
  <c r="B169" i="4"/>
  <c r="A169" i="4"/>
  <c r="I168" i="4"/>
  <c r="H168" i="4"/>
  <c r="G168" i="4"/>
  <c r="F168" i="4"/>
  <c r="E168" i="4"/>
  <c r="D168" i="4"/>
  <c r="C168" i="4"/>
  <c r="B168" i="4"/>
  <c r="A168" i="4"/>
  <c r="I167" i="4"/>
  <c r="H167" i="4"/>
  <c r="G167" i="4"/>
  <c r="F167" i="4"/>
  <c r="E167" i="4"/>
  <c r="D167" i="4"/>
  <c r="C167" i="4"/>
  <c r="B167" i="4"/>
  <c r="A167" i="4"/>
  <c r="I166" i="4"/>
  <c r="H166" i="4"/>
  <c r="G166" i="4"/>
  <c r="F166" i="4"/>
  <c r="E166" i="4"/>
  <c r="D166" i="4"/>
  <c r="C166" i="4"/>
  <c r="B166" i="4"/>
  <c r="A166" i="4"/>
  <c r="I165" i="4"/>
  <c r="H165" i="4"/>
  <c r="G165" i="4"/>
  <c r="F165" i="4"/>
  <c r="E165" i="4"/>
  <c r="D165" i="4"/>
  <c r="C165" i="4"/>
  <c r="B165" i="4"/>
  <c r="A165" i="4"/>
  <c r="I164" i="4"/>
  <c r="H164" i="4"/>
  <c r="G164" i="4"/>
  <c r="F164" i="4"/>
  <c r="E164" i="4"/>
  <c r="D164" i="4"/>
  <c r="C164" i="4"/>
  <c r="B164" i="4"/>
  <c r="A164" i="4"/>
  <c r="I163" i="4"/>
  <c r="H163" i="4"/>
  <c r="G163" i="4"/>
  <c r="F163" i="4"/>
  <c r="E163" i="4"/>
  <c r="D163" i="4"/>
  <c r="C163" i="4"/>
  <c r="B163" i="4"/>
  <c r="A163" i="4"/>
  <c r="I162" i="4"/>
  <c r="H162" i="4"/>
  <c r="G162" i="4"/>
  <c r="F162" i="4"/>
  <c r="E162" i="4"/>
  <c r="D162" i="4"/>
  <c r="C162" i="4"/>
  <c r="B162" i="4"/>
  <c r="A162" i="4"/>
  <c r="I161" i="4"/>
  <c r="H161" i="4"/>
  <c r="G161" i="4"/>
  <c r="F161" i="4"/>
  <c r="E161" i="4"/>
  <c r="D161" i="4"/>
  <c r="C161" i="4"/>
  <c r="B161" i="4"/>
  <c r="A161" i="4"/>
  <c r="I160" i="4"/>
  <c r="H160" i="4"/>
  <c r="G160" i="4"/>
  <c r="F160" i="4"/>
  <c r="E160" i="4"/>
  <c r="D160" i="4"/>
  <c r="C160" i="4"/>
  <c r="B160" i="4"/>
  <c r="A160" i="4"/>
  <c r="I159" i="4"/>
  <c r="H159" i="4"/>
  <c r="G159" i="4"/>
  <c r="F159" i="4"/>
  <c r="E159" i="4"/>
  <c r="D159" i="4"/>
  <c r="C159" i="4"/>
  <c r="B159" i="4"/>
  <c r="A159" i="4"/>
  <c r="I158" i="4"/>
  <c r="H158" i="4"/>
  <c r="G158" i="4"/>
  <c r="F158" i="4"/>
  <c r="E158" i="4"/>
  <c r="D158" i="4"/>
  <c r="C158" i="4"/>
  <c r="B158" i="4"/>
  <c r="A158" i="4"/>
  <c r="I157" i="4"/>
  <c r="H157" i="4"/>
  <c r="G157" i="4"/>
  <c r="F157" i="4"/>
  <c r="E157" i="4"/>
  <c r="D157" i="4"/>
  <c r="C157" i="4"/>
  <c r="B157" i="4"/>
  <c r="A157" i="4"/>
  <c r="I156" i="4"/>
  <c r="H156" i="4"/>
  <c r="G156" i="4"/>
  <c r="F156" i="4"/>
  <c r="E156" i="4"/>
  <c r="D156" i="4"/>
  <c r="C156" i="4"/>
  <c r="B156" i="4"/>
  <c r="A156" i="4"/>
  <c r="I155" i="4"/>
  <c r="H155" i="4"/>
  <c r="G155" i="4"/>
  <c r="F155" i="4"/>
  <c r="E155" i="4"/>
  <c r="D155" i="4"/>
  <c r="C155" i="4"/>
  <c r="B155" i="4"/>
  <c r="A155" i="4"/>
  <c r="I154" i="4"/>
  <c r="H154" i="4"/>
  <c r="G154" i="4"/>
  <c r="F154" i="4"/>
  <c r="E154" i="4"/>
  <c r="D154" i="4"/>
  <c r="C154" i="4"/>
  <c r="B154" i="4"/>
  <c r="A154" i="4"/>
  <c r="I153" i="4"/>
  <c r="H153" i="4"/>
  <c r="G153" i="4"/>
  <c r="F153" i="4"/>
  <c r="E153" i="4"/>
  <c r="D153" i="4"/>
  <c r="C153" i="4"/>
  <c r="B153" i="4"/>
  <c r="A153" i="4"/>
  <c r="I152" i="4"/>
  <c r="H152" i="4"/>
  <c r="G152" i="4"/>
  <c r="F152" i="4"/>
  <c r="E152" i="4"/>
  <c r="D152" i="4"/>
  <c r="C152" i="4"/>
  <c r="B152" i="4"/>
  <c r="A152" i="4"/>
  <c r="I151" i="4"/>
  <c r="H151" i="4"/>
  <c r="G151" i="4"/>
  <c r="F151" i="4"/>
  <c r="E151" i="4"/>
  <c r="D151" i="4"/>
  <c r="C151" i="4"/>
  <c r="B151" i="4"/>
  <c r="A151" i="4"/>
  <c r="I150" i="4"/>
  <c r="H150" i="4"/>
  <c r="G150" i="4"/>
  <c r="F150" i="4"/>
  <c r="E150" i="4"/>
  <c r="D150" i="4"/>
  <c r="C150" i="4"/>
  <c r="B150" i="4"/>
  <c r="A150" i="4"/>
  <c r="I149" i="4"/>
  <c r="H149" i="4"/>
  <c r="G149" i="4"/>
  <c r="F149" i="4"/>
  <c r="E149" i="4"/>
  <c r="D149" i="4"/>
  <c r="C149" i="4"/>
  <c r="B149" i="4"/>
  <c r="A149" i="4"/>
  <c r="I148" i="4"/>
  <c r="H148" i="4"/>
  <c r="G148" i="4"/>
  <c r="F148" i="4"/>
  <c r="E148" i="4"/>
  <c r="D148" i="4"/>
  <c r="C148" i="4"/>
  <c r="B148" i="4"/>
  <c r="A148" i="4"/>
  <c r="I147" i="4"/>
  <c r="H147" i="4"/>
  <c r="G147" i="4"/>
  <c r="F147" i="4"/>
  <c r="E147" i="4"/>
  <c r="D147" i="4"/>
  <c r="C147" i="4"/>
  <c r="B147" i="4"/>
  <c r="A147" i="4"/>
  <c r="I146" i="4"/>
  <c r="H146" i="4"/>
  <c r="G146" i="4"/>
  <c r="F146" i="4"/>
  <c r="E146" i="4"/>
  <c r="D146" i="4"/>
  <c r="C146" i="4"/>
  <c r="B146" i="4"/>
  <c r="A146" i="4"/>
  <c r="I145" i="4"/>
  <c r="H145" i="4"/>
  <c r="G145" i="4"/>
  <c r="F145" i="4"/>
  <c r="E145" i="4"/>
  <c r="D145" i="4"/>
  <c r="C145" i="4"/>
  <c r="B145" i="4"/>
  <c r="A145" i="4"/>
  <c r="I144" i="4"/>
  <c r="H144" i="4"/>
  <c r="G144" i="4"/>
  <c r="F144" i="4"/>
  <c r="E144" i="4"/>
  <c r="D144" i="4"/>
  <c r="C144" i="4"/>
  <c r="B144" i="4"/>
  <c r="A144" i="4"/>
  <c r="I143" i="4"/>
  <c r="H143" i="4"/>
  <c r="G143" i="4"/>
  <c r="F143" i="4"/>
  <c r="E143" i="4"/>
  <c r="D143" i="4"/>
  <c r="C143" i="4"/>
  <c r="B143" i="4"/>
  <c r="A143" i="4"/>
  <c r="I142" i="4"/>
  <c r="H142" i="4"/>
  <c r="G142" i="4"/>
  <c r="F142" i="4"/>
  <c r="E142" i="4"/>
  <c r="D142" i="4"/>
  <c r="C142" i="4"/>
  <c r="B142" i="4"/>
  <c r="A142" i="4"/>
  <c r="I141" i="4"/>
  <c r="H141" i="4"/>
  <c r="G141" i="4"/>
  <c r="F141" i="4"/>
  <c r="E141" i="4"/>
  <c r="D141" i="4"/>
  <c r="C141" i="4"/>
  <c r="B141" i="4"/>
  <c r="A141" i="4"/>
  <c r="I140" i="4"/>
  <c r="H140" i="4"/>
  <c r="G140" i="4"/>
  <c r="F140" i="4"/>
  <c r="E140" i="4"/>
  <c r="D140" i="4"/>
  <c r="C140" i="4"/>
  <c r="B140" i="4"/>
  <c r="A140" i="4"/>
  <c r="I139" i="4"/>
  <c r="H139" i="4"/>
  <c r="G139" i="4"/>
  <c r="F139" i="4"/>
  <c r="E139" i="4"/>
  <c r="D139" i="4"/>
  <c r="C139" i="4"/>
  <c r="B139" i="4"/>
  <c r="A139" i="4"/>
  <c r="I138" i="4"/>
  <c r="H138" i="4"/>
  <c r="G138" i="4"/>
  <c r="F138" i="4"/>
  <c r="E138" i="4"/>
  <c r="D138" i="4"/>
  <c r="C138" i="4"/>
  <c r="B138" i="4"/>
  <c r="A138" i="4"/>
  <c r="I137" i="4"/>
  <c r="H137" i="4"/>
  <c r="G137" i="4"/>
  <c r="F137" i="4"/>
  <c r="E137" i="4"/>
  <c r="D137" i="4"/>
  <c r="C137" i="4"/>
  <c r="B137" i="4"/>
  <c r="A137" i="4"/>
  <c r="I136" i="4"/>
  <c r="H136" i="4"/>
  <c r="G136" i="4"/>
  <c r="F136" i="4"/>
  <c r="E136" i="4"/>
  <c r="D136" i="4"/>
  <c r="C136" i="4"/>
  <c r="B136" i="4"/>
  <c r="A136" i="4"/>
  <c r="I135" i="4"/>
  <c r="H135" i="4"/>
  <c r="G135" i="4"/>
  <c r="F135" i="4"/>
  <c r="E135" i="4"/>
  <c r="D135" i="4"/>
  <c r="C135" i="4"/>
  <c r="B135" i="4"/>
  <c r="A135" i="4"/>
  <c r="I134" i="4"/>
  <c r="H134" i="4"/>
  <c r="G134" i="4"/>
  <c r="F134" i="4"/>
  <c r="E134" i="4"/>
  <c r="D134" i="4"/>
  <c r="C134" i="4"/>
  <c r="B134" i="4"/>
  <c r="A134" i="4"/>
  <c r="I133" i="4"/>
  <c r="H133" i="4"/>
  <c r="G133" i="4"/>
  <c r="F133" i="4"/>
  <c r="E133" i="4"/>
  <c r="D133" i="4"/>
  <c r="C133" i="4"/>
  <c r="B133" i="4"/>
  <c r="A133" i="4"/>
  <c r="I132" i="4"/>
  <c r="H132" i="4"/>
  <c r="G132" i="4"/>
  <c r="F132" i="4"/>
  <c r="E132" i="4"/>
  <c r="D132" i="4"/>
  <c r="C132" i="4"/>
  <c r="B132" i="4"/>
  <c r="A132" i="4"/>
  <c r="I131" i="4"/>
  <c r="H131" i="4"/>
  <c r="G131" i="4"/>
  <c r="F131" i="4"/>
  <c r="E131" i="4"/>
  <c r="D131" i="4"/>
  <c r="C131" i="4"/>
  <c r="B131" i="4"/>
  <c r="A131" i="4"/>
  <c r="I130" i="4"/>
  <c r="H130" i="4"/>
  <c r="G130" i="4"/>
  <c r="F130" i="4"/>
  <c r="E130" i="4"/>
  <c r="D130" i="4"/>
  <c r="C130" i="4"/>
  <c r="B130" i="4"/>
  <c r="A130" i="4"/>
  <c r="I129" i="4"/>
  <c r="H129" i="4"/>
  <c r="G129" i="4"/>
  <c r="F129" i="4"/>
  <c r="E129" i="4"/>
  <c r="D129" i="4"/>
  <c r="C129" i="4"/>
  <c r="B129" i="4"/>
  <c r="A129" i="4"/>
  <c r="I128" i="4"/>
  <c r="H128" i="4"/>
  <c r="G128" i="4"/>
  <c r="F128" i="4"/>
  <c r="E128" i="4"/>
  <c r="D128" i="4"/>
  <c r="C128" i="4"/>
  <c r="B128" i="4"/>
  <c r="A128" i="4"/>
  <c r="I127" i="4"/>
  <c r="H127" i="4"/>
  <c r="G127" i="4"/>
  <c r="F127" i="4"/>
  <c r="E127" i="4"/>
  <c r="D127" i="4"/>
  <c r="C127" i="4"/>
  <c r="B127" i="4"/>
  <c r="A127" i="4"/>
  <c r="I126" i="4"/>
  <c r="H126" i="4"/>
  <c r="G126" i="4"/>
  <c r="F126" i="4"/>
  <c r="E126" i="4"/>
  <c r="D126" i="4"/>
  <c r="C126" i="4"/>
  <c r="B126" i="4"/>
  <c r="A126" i="4"/>
  <c r="I125" i="4"/>
  <c r="H125" i="4"/>
  <c r="G125" i="4"/>
  <c r="F125" i="4"/>
  <c r="E125" i="4"/>
  <c r="D125" i="4"/>
  <c r="C125" i="4"/>
  <c r="B125" i="4"/>
  <c r="A125" i="4"/>
  <c r="I124" i="4"/>
  <c r="H124" i="4"/>
  <c r="G124" i="4"/>
  <c r="F124" i="4"/>
  <c r="E124" i="4"/>
  <c r="D124" i="4"/>
  <c r="C124" i="4"/>
  <c r="B124" i="4"/>
  <c r="A124" i="4"/>
  <c r="I123" i="4"/>
  <c r="H123" i="4"/>
  <c r="G123" i="4"/>
  <c r="F123" i="4"/>
  <c r="E123" i="4"/>
  <c r="D123" i="4"/>
  <c r="C123" i="4"/>
  <c r="B123" i="4"/>
  <c r="A123" i="4"/>
  <c r="I122" i="4"/>
  <c r="H122" i="4"/>
  <c r="G122" i="4"/>
  <c r="F122" i="4"/>
  <c r="E122" i="4"/>
  <c r="D122" i="4"/>
  <c r="C122" i="4"/>
  <c r="B122" i="4"/>
  <c r="A122" i="4"/>
  <c r="I121" i="4"/>
  <c r="H121" i="4"/>
  <c r="G121" i="4"/>
  <c r="F121" i="4"/>
  <c r="E121" i="4"/>
  <c r="D121" i="4"/>
  <c r="C121" i="4"/>
  <c r="B121" i="4"/>
  <c r="A121" i="4"/>
  <c r="I120" i="4"/>
  <c r="H120" i="4"/>
  <c r="G120" i="4"/>
  <c r="F120" i="4"/>
  <c r="E120" i="4"/>
  <c r="D120" i="4"/>
  <c r="C120" i="4"/>
  <c r="B120" i="4"/>
  <c r="A120" i="4"/>
  <c r="I119" i="4"/>
  <c r="H119" i="4"/>
  <c r="G119" i="4"/>
  <c r="F119" i="4"/>
  <c r="E119" i="4"/>
  <c r="D119" i="4"/>
  <c r="C119" i="4"/>
  <c r="B119" i="4"/>
  <c r="A119" i="4"/>
  <c r="I118" i="4"/>
  <c r="H118" i="4"/>
  <c r="G118" i="4"/>
  <c r="F118" i="4"/>
  <c r="E118" i="4"/>
  <c r="D118" i="4"/>
  <c r="C118" i="4"/>
  <c r="B118" i="4"/>
  <c r="A118" i="4"/>
  <c r="I117" i="4"/>
  <c r="H117" i="4"/>
  <c r="G117" i="4"/>
  <c r="F117" i="4"/>
  <c r="E117" i="4"/>
  <c r="D117" i="4"/>
  <c r="C117" i="4"/>
  <c r="B117" i="4"/>
  <c r="A117" i="4"/>
  <c r="I116" i="4"/>
  <c r="H116" i="4"/>
  <c r="G116" i="4"/>
  <c r="F116" i="4"/>
  <c r="E116" i="4"/>
  <c r="D116" i="4"/>
  <c r="C116" i="4"/>
  <c r="B116" i="4"/>
  <c r="A116" i="4"/>
  <c r="I115" i="4"/>
  <c r="H115" i="4"/>
  <c r="G115" i="4"/>
  <c r="F115" i="4"/>
  <c r="E115" i="4"/>
  <c r="D115" i="4"/>
  <c r="C115" i="4"/>
  <c r="B115" i="4"/>
  <c r="A115" i="4"/>
  <c r="I114" i="4"/>
  <c r="H114" i="4"/>
  <c r="G114" i="4"/>
  <c r="F114" i="4"/>
  <c r="E114" i="4"/>
  <c r="D114" i="4"/>
  <c r="C114" i="4"/>
  <c r="B114" i="4"/>
  <c r="A114" i="4"/>
  <c r="I113" i="4"/>
  <c r="H113" i="4"/>
  <c r="G113" i="4"/>
  <c r="F113" i="4"/>
  <c r="E113" i="4"/>
  <c r="D113" i="4"/>
  <c r="C113" i="4"/>
  <c r="B113" i="4"/>
  <c r="A113" i="4"/>
  <c r="I112" i="4"/>
  <c r="H112" i="4"/>
  <c r="G112" i="4"/>
  <c r="F112" i="4"/>
  <c r="E112" i="4"/>
  <c r="D112" i="4"/>
  <c r="C112" i="4"/>
  <c r="B112" i="4"/>
  <c r="A112" i="4"/>
  <c r="I111" i="4"/>
  <c r="H111" i="4"/>
  <c r="G111" i="4"/>
  <c r="F111" i="4"/>
  <c r="E111" i="4"/>
  <c r="D111" i="4"/>
  <c r="C111" i="4"/>
  <c r="B111" i="4"/>
  <c r="A111" i="4"/>
  <c r="I110" i="4"/>
  <c r="H110" i="4"/>
  <c r="G110" i="4"/>
  <c r="F110" i="4"/>
  <c r="E110" i="4"/>
  <c r="D110" i="4"/>
  <c r="C110" i="4"/>
  <c r="B110" i="4"/>
  <c r="A110" i="4"/>
  <c r="I109" i="4"/>
  <c r="H109" i="4"/>
  <c r="G109" i="4"/>
  <c r="F109" i="4"/>
  <c r="E109" i="4"/>
  <c r="D109" i="4"/>
  <c r="C109" i="4"/>
  <c r="B109" i="4"/>
  <c r="A109" i="4"/>
  <c r="I108" i="4"/>
  <c r="H108" i="4"/>
  <c r="G108" i="4"/>
  <c r="F108" i="4"/>
  <c r="E108" i="4"/>
  <c r="D108" i="4"/>
  <c r="C108" i="4"/>
  <c r="B108" i="4"/>
  <c r="A108" i="4"/>
  <c r="I107" i="4"/>
  <c r="H107" i="4"/>
  <c r="G107" i="4"/>
  <c r="F107" i="4"/>
  <c r="E107" i="4"/>
  <c r="D107" i="4"/>
  <c r="C107" i="4"/>
  <c r="B107" i="4"/>
  <c r="A107" i="4"/>
  <c r="I106" i="4"/>
  <c r="H106" i="4"/>
  <c r="G106" i="4"/>
  <c r="F106" i="4"/>
  <c r="E106" i="4"/>
  <c r="D106" i="4"/>
  <c r="C106" i="4"/>
  <c r="B106" i="4"/>
  <c r="A106" i="4"/>
  <c r="I105" i="4"/>
  <c r="H105" i="4"/>
  <c r="G105" i="4"/>
  <c r="F105" i="4"/>
  <c r="E105" i="4"/>
  <c r="D105" i="4"/>
  <c r="C105" i="4"/>
  <c r="B105" i="4"/>
  <c r="A105" i="4"/>
  <c r="I104" i="4"/>
  <c r="H104" i="4"/>
  <c r="G104" i="4"/>
  <c r="F104" i="4"/>
  <c r="E104" i="4"/>
  <c r="D104" i="4"/>
  <c r="C104" i="4"/>
  <c r="B104" i="4"/>
  <c r="A104" i="4"/>
  <c r="I103" i="4"/>
  <c r="H103" i="4"/>
  <c r="G103" i="4"/>
  <c r="F103" i="4"/>
  <c r="E103" i="4"/>
  <c r="D103" i="4"/>
  <c r="C103" i="4"/>
  <c r="B103" i="4"/>
  <c r="A103" i="4"/>
  <c r="I102" i="4"/>
  <c r="H102" i="4"/>
  <c r="G102" i="4"/>
  <c r="F102" i="4"/>
  <c r="E102" i="4"/>
  <c r="D102" i="4"/>
  <c r="C102" i="4"/>
  <c r="B102" i="4"/>
  <c r="A102" i="4"/>
  <c r="I101" i="4"/>
  <c r="H101" i="4"/>
  <c r="G101" i="4"/>
  <c r="F101" i="4"/>
  <c r="E101" i="4"/>
  <c r="D101" i="4"/>
  <c r="C101" i="4"/>
  <c r="B101" i="4"/>
  <c r="A101" i="4"/>
  <c r="I100" i="4"/>
  <c r="H100" i="4"/>
  <c r="G100" i="4"/>
  <c r="F100" i="4"/>
  <c r="E100" i="4"/>
  <c r="D100" i="4"/>
  <c r="C100" i="4"/>
  <c r="B100" i="4"/>
  <c r="A100" i="4"/>
  <c r="I99" i="4"/>
  <c r="H99" i="4"/>
  <c r="G99" i="4"/>
  <c r="F99" i="4"/>
  <c r="E99" i="4"/>
  <c r="D99" i="4"/>
  <c r="C99" i="4"/>
  <c r="B99" i="4"/>
  <c r="A99" i="4"/>
  <c r="I98" i="4"/>
  <c r="H98" i="4"/>
  <c r="G98" i="4"/>
  <c r="F98" i="4"/>
  <c r="E98" i="4"/>
  <c r="D98" i="4"/>
  <c r="C98" i="4"/>
  <c r="B98" i="4"/>
  <c r="A98" i="4"/>
  <c r="I97" i="4"/>
  <c r="H97" i="4"/>
  <c r="G97" i="4"/>
  <c r="F97" i="4"/>
  <c r="E97" i="4"/>
  <c r="D97" i="4"/>
  <c r="C97" i="4"/>
  <c r="B97" i="4"/>
  <c r="A97" i="4"/>
  <c r="I96" i="4"/>
  <c r="H96" i="4"/>
  <c r="G96" i="4"/>
  <c r="F96" i="4"/>
  <c r="E96" i="4"/>
  <c r="D96" i="4"/>
  <c r="C96" i="4"/>
  <c r="B96" i="4"/>
  <c r="A96" i="4"/>
  <c r="I95" i="4"/>
  <c r="H95" i="4"/>
  <c r="G95" i="4"/>
  <c r="F95" i="4"/>
  <c r="E95" i="4"/>
  <c r="D95" i="4"/>
  <c r="C95" i="4"/>
  <c r="B95" i="4"/>
  <c r="A95" i="4"/>
  <c r="I94" i="4"/>
  <c r="H94" i="4"/>
  <c r="G94" i="4"/>
  <c r="F94" i="4"/>
  <c r="E94" i="4"/>
  <c r="D94" i="4"/>
  <c r="C94" i="4"/>
  <c r="B94" i="4"/>
  <c r="A94" i="4"/>
  <c r="I93" i="4"/>
  <c r="H93" i="4"/>
  <c r="G93" i="4"/>
  <c r="F93" i="4"/>
  <c r="E93" i="4"/>
  <c r="D93" i="4"/>
  <c r="C93" i="4"/>
  <c r="B93" i="4"/>
  <c r="A93" i="4"/>
  <c r="I92" i="4"/>
  <c r="H92" i="4"/>
  <c r="G92" i="4"/>
  <c r="F92" i="4"/>
  <c r="E92" i="4"/>
  <c r="D92" i="4"/>
  <c r="C92" i="4"/>
  <c r="B92" i="4"/>
  <c r="A92" i="4"/>
  <c r="I91" i="4"/>
  <c r="H91" i="4"/>
  <c r="G91" i="4"/>
  <c r="F91" i="4"/>
  <c r="E91" i="4"/>
  <c r="D91" i="4"/>
  <c r="C91" i="4"/>
  <c r="B91" i="4"/>
  <c r="A91" i="4"/>
  <c r="I90" i="4"/>
  <c r="H90" i="4"/>
  <c r="G90" i="4"/>
  <c r="F90" i="4"/>
  <c r="E90" i="4"/>
  <c r="D90" i="4"/>
  <c r="C90" i="4"/>
  <c r="B90" i="4"/>
  <c r="A90" i="4"/>
  <c r="I89" i="4"/>
  <c r="H89" i="4"/>
  <c r="G89" i="4"/>
  <c r="F89" i="4"/>
  <c r="E89" i="4"/>
  <c r="D89" i="4"/>
  <c r="C89" i="4"/>
  <c r="B89" i="4"/>
  <c r="A89" i="4"/>
  <c r="I88" i="4"/>
  <c r="H88" i="4"/>
  <c r="G88" i="4"/>
  <c r="F88" i="4"/>
  <c r="E88" i="4"/>
  <c r="D88" i="4"/>
  <c r="C88" i="4"/>
  <c r="B88" i="4"/>
  <c r="A88" i="4"/>
  <c r="I87" i="4"/>
  <c r="H87" i="4"/>
  <c r="G87" i="4"/>
  <c r="F87" i="4"/>
  <c r="E87" i="4"/>
  <c r="D87" i="4"/>
  <c r="C87" i="4"/>
  <c r="B87" i="4"/>
  <c r="A87" i="4"/>
  <c r="I86" i="4"/>
  <c r="H86" i="4"/>
  <c r="G86" i="4"/>
  <c r="F86" i="4"/>
  <c r="E86" i="4"/>
  <c r="D86" i="4"/>
  <c r="C86" i="4"/>
  <c r="B86" i="4"/>
  <c r="A86" i="4"/>
  <c r="I85" i="4"/>
  <c r="H85" i="4"/>
  <c r="G85" i="4"/>
  <c r="F85" i="4"/>
  <c r="E85" i="4"/>
  <c r="D85" i="4"/>
  <c r="C85" i="4"/>
  <c r="B85" i="4"/>
  <c r="A85" i="4"/>
  <c r="I84" i="4"/>
  <c r="H84" i="4"/>
  <c r="G84" i="4"/>
  <c r="F84" i="4"/>
  <c r="E84" i="4"/>
  <c r="D84" i="4"/>
  <c r="C84" i="4"/>
  <c r="B84" i="4"/>
  <c r="A84" i="4"/>
  <c r="I83" i="4"/>
  <c r="H83" i="4"/>
  <c r="G83" i="4"/>
  <c r="F83" i="4"/>
  <c r="E83" i="4"/>
  <c r="D83" i="4"/>
  <c r="C83" i="4"/>
  <c r="B83" i="4"/>
  <c r="A83" i="4"/>
  <c r="I82" i="4"/>
  <c r="H82" i="4"/>
  <c r="G82" i="4"/>
  <c r="F82" i="4"/>
  <c r="E82" i="4"/>
  <c r="D82" i="4"/>
  <c r="C82" i="4"/>
  <c r="B82" i="4"/>
  <c r="A82" i="4"/>
  <c r="I81" i="4"/>
  <c r="H81" i="4"/>
  <c r="G81" i="4"/>
  <c r="F81" i="4"/>
  <c r="E81" i="4"/>
  <c r="D81" i="4"/>
  <c r="C81" i="4"/>
  <c r="B81" i="4"/>
  <c r="A81" i="4"/>
  <c r="I80" i="4"/>
  <c r="H80" i="4"/>
  <c r="G80" i="4"/>
  <c r="F80" i="4"/>
  <c r="E80" i="4"/>
  <c r="D80" i="4"/>
  <c r="C80" i="4"/>
  <c r="B80" i="4"/>
  <c r="A80" i="4"/>
  <c r="I79" i="4"/>
  <c r="H79" i="4"/>
  <c r="G79" i="4"/>
  <c r="F79" i="4"/>
  <c r="E79" i="4"/>
  <c r="D79" i="4"/>
  <c r="C79" i="4"/>
  <c r="B79" i="4"/>
  <c r="A79" i="4"/>
  <c r="I78" i="4"/>
  <c r="H78" i="4"/>
  <c r="G78" i="4"/>
  <c r="F78" i="4"/>
  <c r="E78" i="4"/>
  <c r="D78" i="4"/>
  <c r="C78" i="4"/>
  <c r="B78" i="4"/>
  <c r="A78" i="4"/>
  <c r="I77" i="4"/>
  <c r="H77" i="4"/>
  <c r="G77" i="4"/>
  <c r="F77" i="4"/>
  <c r="E77" i="4"/>
  <c r="D77" i="4"/>
  <c r="C77" i="4"/>
  <c r="B77" i="4"/>
  <c r="A77" i="4"/>
  <c r="I76" i="4"/>
  <c r="H76" i="4"/>
  <c r="G76" i="4"/>
  <c r="F76" i="4"/>
  <c r="E76" i="4"/>
  <c r="D76" i="4"/>
  <c r="C76" i="4"/>
  <c r="B76" i="4"/>
  <c r="A76" i="4"/>
  <c r="I75" i="4"/>
  <c r="H75" i="4"/>
  <c r="G75" i="4"/>
  <c r="F75" i="4"/>
  <c r="E75" i="4"/>
  <c r="D75" i="4"/>
  <c r="C75" i="4"/>
  <c r="B75" i="4"/>
  <c r="A75" i="4"/>
  <c r="I74" i="4"/>
  <c r="H74" i="4"/>
  <c r="G74" i="4"/>
  <c r="F74" i="4"/>
  <c r="E74" i="4"/>
  <c r="D74" i="4"/>
  <c r="C74" i="4"/>
  <c r="B74" i="4"/>
  <c r="A74" i="4"/>
  <c r="I73" i="4"/>
  <c r="H73" i="4"/>
  <c r="G73" i="4"/>
  <c r="F73" i="4"/>
  <c r="E73" i="4"/>
  <c r="D73" i="4"/>
  <c r="C73" i="4"/>
  <c r="B73" i="4"/>
  <c r="A73" i="4"/>
  <c r="I72" i="4"/>
  <c r="H72" i="4"/>
  <c r="G72" i="4"/>
  <c r="F72" i="4"/>
  <c r="E72" i="4"/>
  <c r="D72" i="4"/>
  <c r="C72" i="4"/>
  <c r="B72" i="4"/>
  <c r="A72" i="4"/>
  <c r="I71" i="4"/>
  <c r="H71" i="4"/>
  <c r="G71" i="4"/>
  <c r="F71" i="4"/>
  <c r="E71" i="4"/>
  <c r="D71" i="4"/>
  <c r="C71" i="4"/>
  <c r="B71" i="4"/>
  <c r="A71" i="4"/>
  <c r="I70" i="4"/>
  <c r="H70" i="4"/>
  <c r="G70" i="4"/>
  <c r="F70" i="4"/>
  <c r="E70" i="4"/>
  <c r="D70" i="4"/>
  <c r="C70" i="4"/>
  <c r="B70" i="4"/>
  <c r="A70" i="4"/>
  <c r="I69" i="4"/>
  <c r="H69" i="4"/>
  <c r="G69" i="4"/>
  <c r="F69" i="4"/>
  <c r="E69" i="4"/>
  <c r="D69" i="4"/>
  <c r="C69" i="4"/>
  <c r="B69" i="4"/>
  <c r="A69" i="4"/>
  <c r="I68" i="4"/>
  <c r="H68" i="4"/>
  <c r="G68" i="4"/>
  <c r="F68" i="4"/>
  <c r="E68" i="4"/>
  <c r="D68" i="4"/>
  <c r="C68" i="4"/>
  <c r="B68" i="4"/>
  <c r="A68" i="4"/>
  <c r="I67" i="4"/>
  <c r="H67" i="4"/>
  <c r="G67" i="4"/>
  <c r="F67" i="4"/>
  <c r="E67" i="4"/>
  <c r="D67" i="4"/>
  <c r="C67" i="4"/>
  <c r="B67" i="4"/>
  <c r="A67" i="4"/>
  <c r="I66" i="4"/>
  <c r="H66" i="4"/>
  <c r="G66" i="4"/>
  <c r="F66" i="4"/>
  <c r="E66" i="4"/>
  <c r="D66" i="4"/>
  <c r="C66" i="4"/>
  <c r="B66" i="4"/>
  <c r="A66" i="4"/>
  <c r="I65" i="4"/>
  <c r="H65" i="4"/>
  <c r="G65" i="4"/>
  <c r="F65" i="4"/>
  <c r="E65" i="4"/>
  <c r="D65" i="4"/>
  <c r="C65" i="4"/>
  <c r="B65" i="4"/>
  <c r="A65" i="4"/>
  <c r="I64" i="4"/>
  <c r="H64" i="4"/>
  <c r="G64" i="4"/>
  <c r="F64" i="4"/>
  <c r="E64" i="4"/>
  <c r="D64" i="4"/>
  <c r="C64" i="4"/>
  <c r="B64" i="4"/>
  <c r="A64" i="4"/>
  <c r="I63" i="4"/>
  <c r="H63" i="4"/>
  <c r="G63" i="4"/>
  <c r="F63" i="4"/>
  <c r="E63" i="4"/>
  <c r="D63" i="4"/>
  <c r="C63" i="4"/>
  <c r="B63" i="4"/>
  <c r="A63" i="4"/>
  <c r="I62" i="4"/>
  <c r="H62" i="4"/>
  <c r="G62" i="4"/>
  <c r="F62" i="4"/>
  <c r="E62" i="4"/>
  <c r="D62" i="4"/>
  <c r="C62" i="4"/>
  <c r="B62" i="4"/>
  <c r="A62" i="4"/>
  <c r="I61" i="4"/>
  <c r="H61" i="4"/>
  <c r="G61" i="4"/>
  <c r="F61" i="4"/>
  <c r="E61" i="4"/>
  <c r="D61" i="4"/>
  <c r="C61" i="4"/>
  <c r="B61" i="4"/>
  <c r="A61" i="4"/>
  <c r="I60" i="4"/>
  <c r="H60" i="4"/>
  <c r="G60" i="4"/>
  <c r="F60" i="4"/>
  <c r="E60" i="4"/>
  <c r="D60" i="4"/>
  <c r="C60" i="4"/>
  <c r="B60" i="4"/>
  <c r="A60" i="4"/>
  <c r="I59" i="4"/>
  <c r="H59" i="4"/>
  <c r="G59" i="4"/>
  <c r="F59" i="4"/>
  <c r="E59" i="4"/>
  <c r="D59" i="4"/>
  <c r="C59" i="4"/>
  <c r="B59" i="4"/>
  <c r="A59" i="4"/>
  <c r="I58" i="4"/>
  <c r="H58" i="4"/>
  <c r="G58" i="4"/>
  <c r="F58" i="4"/>
  <c r="E58" i="4"/>
  <c r="D58" i="4"/>
  <c r="C58" i="4"/>
  <c r="B58" i="4"/>
  <c r="A58" i="4"/>
  <c r="I57" i="4"/>
  <c r="H57" i="4"/>
  <c r="G57" i="4"/>
  <c r="F57" i="4"/>
  <c r="E57" i="4"/>
  <c r="D57" i="4"/>
  <c r="C57" i="4"/>
  <c r="B57" i="4"/>
  <c r="A57" i="4"/>
  <c r="I56" i="4"/>
  <c r="H56" i="4"/>
  <c r="G56" i="4"/>
  <c r="F56" i="4"/>
  <c r="E56" i="4"/>
  <c r="D56" i="4"/>
  <c r="C56" i="4"/>
  <c r="B56" i="4"/>
  <c r="A56" i="4"/>
  <c r="I55" i="4"/>
  <c r="H55" i="4"/>
  <c r="G55" i="4"/>
  <c r="F55" i="4"/>
  <c r="E55" i="4"/>
  <c r="D55" i="4"/>
  <c r="C55" i="4"/>
  <c r="B55" i="4"/>
  <c r="A55" i="4"/>
  <c r="I54" i="4"/>
  <c r="H54" i="4"/>
  <c r="G54" i="4"/>
  <c r="F54" i="4"/>
  <c r="E54" i="4"/>
  <c r="D54" i="4"/>
  <c r="C54" i="4"/>
  <c r="B54" i="4"/>
  <c r="A54" i="4"/>
  <c r="I53" i="4"/>
  <c r="H53" i="4"/>
  <c r="G53" i="4"/>
  <c r="F53" i="4"/>
  <c r="E53" i="4"/>
  <c r="D53" i="4"/>
  <c r="C53" i="4"/>
  <c r="B53" i="4"/>
  <c r="A53" i="4"/>
  <c r="I52" i="4"/>
  <c r="H52" i="4"/>
  <c r="G52" i="4"/>
  <c r="F52" i="4"/>
  <c r="E52" i="4"/>
  <c r="D52" i="4"/>
  <c r="C52" i="4"/>
  <c r="B52" i="4"/>
  <c r="A52" i="4"/>
  <c r="I51" i="4"/>
  <c r="H51" i="4"/>
  <c r="G51" i="4"/>
  <c r="F51" i="4"/>
  <c r="E51" i="4"/>
  <c r="D51" i="4"/>
  <c r="C51" i="4"/>
  <c r="B51" i="4"/>
  <c r="A51" i="4"/>
  <c r="I50" i="4"/>
  <c r="H50" i="4"/>
  <c r="G50" i="4"/>
  <c r="F50" i="4"/>
  <c r="E50" i="4"/>
  <c r="D50" i="4"/>
  <c r="C50" i="4"/>
  <c r="B50" i="4"/>
  <c r="A50" i="4"/>
  <c r="I49" i="4"/>
  <c r="H49" i="4"/>
  <c r="G49" i="4"/>
  <c r="F49" i="4"/>
  <c r="E49" i="4"/>
  <c r="D49" i="4"/>
  <c r="C49" i="4"/>
  <c r="B49" i="4"/>
  <c r="A49" i="4"/>
  <c r="I48" i="4"/>
  <c r="H48" i="4"/>
  <c r="G48" i="4"/>
  <c r="F48" i="4"/>
  <c r="E48" i="4"/>
  <c r="D48" i="4"/>
  <c r="C48" i="4"/>
  <c r="B48" i="4"/>
  <c r="A48" i="4"/>
  <c r="I47" i="4"/>
  <c r="H47" i="4"/>
  <c r="G47" i="4"/>
  <c r="F47" i="4"/>
  <c r="E47" i="4"/>
  <c r="D47" i="4"/>
  <c r="C47" i="4"/>
  <c r="B47" i="4"/>
  <c r="A47" i="4"/>
  <c r="I46" i="4"/>
  <c r="H46" i="4"/>
  <c r="G46" i="4"/>
  <c r="F46" i="4"/>
  <c r="E46" i="4"/>
  <c r="D46" i="4"/>
  <c r="C46" i="4"/>
  <c r="B46" i="4"/>
  <c r="A46" i="4"/>
  <c r="I45" i="4"/>
  <c r="H45" i="4"/>
  <c r="G45" i="4"/>
  <c r="F45" i="4"/>
  <c r="E45" i="4"/>
  <c r="D45" i="4"/>
  <c r="C45" i="4"/>
  <c r="B45" i="4"/>
  <c r="A45" i="4"/>
  <c r="I44" i="4"/>
  <c r="H44" i="4"/>
  <c r="G44" i="4"/>
  <c r="F44" i="4"/>
  <c r="E44" i="4"/>
  <c r="D44" i="4"/>
  <c r="C44" i="4"/>
  <c r="B44" i="4"/>
  <c r="A44" i="4"/>
  <c r="I43" i="4"/>
  <c r="H43" i="4"/>
  <c r="G43" i="4"/>
  <c r="F43" i="4"/>
  <c r="E43" i="4"/>
  <c r="D43" i="4"/>
  <c r="C43" i="4"/>
  <c r="B43" i="4"/>
  <c r="A43" i="4"/>
  <c r="I42" i="4"/>
  <c r="H42" i="4"/>
  <c r="G42" i="4"/>
  <c r="F42" i="4"/>
  <c r="E42" i="4"/>
  <c r="D42" i="4"/>
  <c r="C42" i="4"/>
  <c r="B42" i="4"/>
  <c r="A42" i="4"/>
  <c r="I41" i="4"/>
  <c r="H41" i="4"/>
  <c r="G41" i="4"/>
  <c r="F41" i="4"/>
  <c r="E41" i="4"/>
  <c r="D41" i="4"/>
  <c r="C41" i="4"/>
  <c r="B41" i="4"/>
  <c r="A41" i="4"/>
  <c r="I40" i="4"/>
  <c r="H40" i="4"/>
  <c r="G40" i="4"/>
  <c r="F40" i="4"/>
  <c r="E40" i="4"/>
  <c r="D40" i="4"/>
  <c r="C40" i="4"/>
  <c r="B40" i="4"/>
  <c r="A40" i="4"/>
  <c r="I39" i="4"/>
  <c r="H39" i="4"/>
  <c r="G39" i="4"/>
  <c r="F39" i="4"/>
  <c r="E39" i="4"/>
  <c r="D39" i="4"/>
  <c r="C39" i="4"/>
  <c r="B39" i="4"/>
  <c r="A39" i="4"/>
  <c r="I38" i="4"/>
  <c r="H38" i="4"/>
  <c r="G38" i="4"/>
  <c r="F38" i="4"/>
  <c r="E38" i="4"/>
  <c r="D38" i="4"/>
  <c r="C38" i="4"/>
  <c r="B38" i="4"/>
  <c r="A38" i="4"/>
  <c r="I37" i="4"/>
  <c r="H37" i="4"/>
  <c r="G37" i="4"/>
  <c r="F37" i="4"/>
  <c r="E37" i="4"/>
  <c r="D37" i="4"/>
  <c r="C37" i="4"/>
  <c r="B37" i="4"/>
  <c r="A37" i="4"/>
  <c r="I36" i="4"/>
  <c r="H36" i="4"/>
  <c r="G36" i="4"/>
  <c r="F36" i="4"/>
  <c r="E36" i="4"/>
  <c r="D36" i="4"/>
  <c r="C36" i="4"/>
  <c r="B36" i="4"/>
  <c r="A36" i="4"/>
  <c r="I35" i="4"/>
  <c r="H35" i="4"/>
  <c r="G35" i="4"/>
  <c r="F35" i="4"/>
  <c r="E35" i="4"/>
  <c r="D35" i="4"/>
  <c r="C35" i="4"/>
  <c r="B35" i="4"/>
  <c r="A35" i="4"/>
  <c r="I34" i="4"/>
  <c r="H34" i="4"/>
  <c r="G34" i="4"/>
  <c r="F34" i="4"/>
  <c r="E34" i="4"/>
  <c r="D34" i="4"/>
  <c r="C34" i="4"/>
  <c r="B34" i="4"/>
  <c r="A34" i="4"/>
  <c r="I33" i="4"/>
  <c r="H33" i="4"/>
  <c r="G33" i="4"/>
  <c r="F33" i="4"/>
  <c r="E33" i="4"/>
  <c r="D33" i="4"/>
  <c r="C33" i="4"/>
  <c r="B33" i="4"/>
  <c r="A33" i="4"/>
  <c r="I32" i="4"/>
  <c r="H32" i="4"/>
  <c r="G32" i="4"/>
  <c r="F32" i="4"/>
  <c r="E32" i="4"/>
  <c r="D32" i="4"/>
  <c r="C32" i="4"/>
  <c r="B32" i="4"/>
  <c r="A32" i="4"/>
  <c r="I31" i="4"/>
  <c r="H31" i="4"/>
  <c r="G31" i="4"/>
  <c r="F31" i="4"/>
  <c r="E31" i="4"/>
  <c r="D31" i="4"/>
  <c r="C31" i="4"/>
  <c r="B31" i="4"/>
  <c r="A31" i="4"/>
  <c r="I30" i="4"/>
  <c r="H30" i="4"/>
  <c r="G30" i="4"/>
  <c r="F30" i="4"/>
  <c r="E30" i="4"/>
  <c r="D30" i="4"/>
  <c r="C30" i="4"/>
  <c r="B30" i="4"/>
  <c r="A30" i="4"/>
  <c r="I29" i="4"/>
  <c r="H29" i="4"/>
  <c r="G29" i="4"/>
  <c r="F29" i="4"/>
  <c r="E29" i="4"/>
  <c r="D29" i="4"/>
  <c r="C29" i="4"/>
  <c r="B29" i="4"/>
  <c r="A29" i="4"/>
  <c r="I28" i="4"/>
  <c r="H28" i="4"/>
  <c r="G28" i="4"/>
  <c r="F28" i="4"/>
  <c r="E28" i="4"/>
  <c r="D28" i="4"/>
  <c r="C28" i="4"/>
  <c r="B28" i="4"/>
  <c r="A28" i="4"/>
  <c r="I27" i="4"/>
  <c r="H27" i="4"/>
  <c r="G27" i="4"/>
  <c r="F27" i="4"/>
  <c r="E27" i="4"/>
  <c r="D27" i="4"/>
  <c r="C27" i="4"/>
  <c r="B27" i="4"/>
  <c r="A27" i="4"/>
  <c r="I26" i="4"/>
  <c r="H26" i="4"/>
  <c r="G26" i="4"/>
  <c r="F26" i="4"/>
  <c r="E26" i="4"/>
  <c r="D26" i="4"/>
  <c r="C26" i="4"/>
  <c r="B26" i="4"/>
  <c r="A26" i="4"/>
  <c r="I25" i="4"/>
  <c r="H25" i="4"/>
  <c r="G25" i="4"/>
  <c r="F25" i="4"/>
  <c r="E25" i="4"/>
  <c r="D25" i="4"/>
  <c r="C25" i="4"/>
  <c r="B25" i="4"/>
  <c r="A25" i="4"/>
  <c r="I24" i="4"/>
  <c r="H24" i="4"/>
  <c r="G24" i="4"/>
  <c r="F24" i="4"/>
  <c r="E24" i="4"/>
  <c r="D24" i="4"/>
  <c r="C24" i="4"/>
  <c r="B24" i="4"/>
  <c r="A24" i="4"/>
  <c r="I23" i="4"/>
  <c r="H23" i="4"/>
  <c r="G23" i="4"/>
  <c r="F23" i="4"/>
  <c r="E23" i="4"/>
  <c r="D23" i="4"/>
  <c r="C23" i="4"/>
  <c r="B23" i="4"/>
  <c r="A23" i="4"/>
  <c r="I22" i="4"/>
  <c r="H22" i="4"/>
  <c r="G22" i="4"/>
  <c r="F22" i="4"/>
  <c r="E22" i="4"/>
  <c r="D22" i="4"/>
  <c r="C22" i="4"/>
  <c r="B22" i="4"/>
  <c r="A22" i="4"/>
  <c r="I21" i="4"/>
  <c r="H21" i="4"/>
  <c r="G21" i="4"/>
  <c r="F21" i="4"/>
  <c r="E21" i="4"/>
  <c r="D21" i="4"/>
  <c r="C21" i="4"/>
  <c r="B21" i="4"/>
  <c r="A21" i="4"/>
  <c r="I20" i="4"/>
  <c r="H20" i="4"/>
  <c r="G20" i="4"/>
  <c r="F20" i="4"/>
  <c r="E20" i="4"/>
  <c r="D20" i="4"/>
  <c r="C20" i="4"/>
  <c r="B20" i="4"/>
  <c r="A20" i="4"/>
  <c r="I19" i="4"/>
  <c r="H19" i="4"/>
  <c r="G19" i="4"/>
  <c r="F19" i="4"/>
  <c r="E19" i="4"/>
  <c r="D19" i="4"/>
  <c r="C19" i="4"/>
  <c r="B19" i="4"/>
  <c r="A19" i="4"/>
  <c r="I18" i="4"/>
  <c r="H18" i="4"/>
  <c r="G18" i="4"/>
  <c r="F18" i="4"/>
  <c r="E18" i="4"/>
  <c r="D18" i="4"/>
  <c r="C18" i="4"/>
  <c r="B18" i="4"/>
  <c r="A18" i="4"/>
  <c r="I17" i="4"/>
  <c r="H17" i="4"/>
  <c r="G17" i="4"/>
  <c r="F17" i="4"/>
  <c r="E17" i="4"/>
  <c r="D17" i="4"/>
  <c r="C17" i="4"/>
  <c r="B17" i="4"/>
  <c r="A17" i="4"/>
  <c r="I16" i="4"/>
  <c r="H16" i="4"/>
  <c r="G16" i="4"/>
  <c r="F16" i="4"/>
  <c r="E16" i="4"/>
  <c r="D16" i="4"/>
  <c r="C16" i="4"/>
  <c r="B16" i="4"/>
  <c r="A16" i="4"/>
  <c r="I15" i="4"/>
  <c r="H15" i="4"/>
  <c r="G15" i="4"/>
  <c r="F15" i="4"/>
  <c r="E15" i="4"/>
  <c r="D15" i="4"/>
  <c r="C15" i="4"/>
  <c r="B15" i="4"/>
  <c r="A15" i="4"/>
  <c r="I14" i="4"/>
  <c r="H14" i="4"/>
  <c r="G14" i="4"/>
  <c r="F14" i="4"/>
  <c r="E14" i="4"/>
  <c r="D14" i="4"/>
  <c r="C14" i="4"/>
  <c r="B14" i="4"/>
  <c r="A14" i="4"/>
  <c r="I13" i="4"/>
  <c r="H13" i="4"/>
  <c r="G13" i="4"/>
  <c r="F13" i="4"/>
  <c r="E13" i="4"/>
  <c r="D13" i="4"/>
  <c r="C13" i="4"/>
  <c r="B13" i="4"/>
  <c r="A13" i="4"/>
  <c r="I12" i="4"/>
  <c r="H12" i="4"/>
  <c r="G12" i="4"/>
  <c r="F12" i="4"/>
  <c r="E12" i="4"/>
  <c r="D12" i="4"/>
  <c r="C12" i="4"/>
  <c r="B12" i="4"/>
  <c r="A12" i="4"/>
  <c r="I11" i="4"/>
  <c r="H11" i="4"/>
  <c r="G11" i="4"/>
  <c r="F11" i="4"/>
  <c r="E11" i="4"/>
  <c r="D11" i="4"/>
  <c r="C11" i="4"/>
  <c r="B11" i="4"/>
  <c r="A11" i="4"/>
  <c r="I10" i="4"/>
  <c r="H10" i="4"/>
  <c r="G10" i="4"/>
  <c r="F10" i="4"/>
  <c r="E10" i="4"/>
  <c r="D10" i="4"/>
  <c r="C10" i="4"/>
  <c r="B10" i="4"/>
  <c r="A10" i="4"/>
  <c r="I9" i="4"/>
  <c r="G9" i="4"/>
  <c r="F9" i="4"/>
  <c r="E9" i="4"/>
  <c r="D9" i="4"/>
  <c r="C9" i="4"/>
  <c r="B9" i="4"/>
  <c r="A9" i="4"/>
  <c r="I8" i="4"/>
  <c r="G8" i="4"/>
  <c r="F8" i="4"/>
  <c r="E8" i="4"/>
  <c r="D8" i="4"/>
  <c r="C8" i="4"/>
  <c r="B8" i="4"/>
  <c r="A8" i="4"/>
  <c r="I7" i="4"/>
  <c r="G7" i="4"/>
  <c r="F7" i="4"/>
  <c r="E7" i="4"/>
  <c r="D7" i="4"/>
  <c r="C7" i="4"/>
  <c r="B7" i="4"/>
  <c r="A7" i="4"/>
  <c r="I6" i="4"/>
  <c r="G6" i="4"/>
  <c r="F6" i="4"/>
  <c r="E6" i="4"/>
  <c r="D6" i="4"/>
  <c r="C6" i="4"/>
  <c r="B6" i="4"/>
  <c r="A6" i="4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H209" i="4" s="1"/>
  <c r="J8" i="3"/>
  <c r="H208" i="4" s="1"/>
  <c r="J7" i="3"/>
  <c r="H207" i="4" s="1"/>
  <c r="J6" i="3"/>
  <c r="H206" i="4" s="1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9" i="4" s="1"/>
  <c r="H8" i="2"/>
  <c r="H8" i="4" s="1"/>
  <c r="H7" i="2"/>
  <c r="H7" i="4" s="1"/>
  <c r="H6" i="2"/>
  <c r="H6" i="4" s="1"/>
  <c r="I18" i="1"/>
  <c r="H18" i="1"/>
  <c r="J18" i="1" s="1"/>
  <c r="I17" i="1"/>
  <c r="H17" i="1"/>
  <c r="J17" i="1" s="1"/>
  <c r="I16" i="1"/>
  <c r="H16" i="1"/>
  <c r="J16" i="1" s="1"/>
  <c r="I15" i="1"/>
  <c r="H15" i="1"/>
  <c r="J15" i="1" s="1"/>
  <c r="J14" i="1"/>
  <c r="I14" i="1"/>
  <c r="H14" i="1"/>
  <c r="I13" i="1"/>
  <c r="H13" i="1"/>
  <c r="J13" i="1" s="1"/>
  <c r="I12" i="1"/>
  <c r="H12" i="1"/>
  <c r="J12" i="1" s="1"/>
  <c r="I11" i="1"/>
  <c r="H11" i="1"/>
  <c r="I10" i="1"/>
  <c r="H10" i="1"/>
  <c r="J10" i="1" s="1"/>
  <c r="J9" i="1"/>
  <c r="I9" i="1"/>
  <c r="H9" i="1"/>
  <c r="K5" i="1"/>
  <c r="A12" i="1" s="1"/>
  <c r="H5" i="1"/>
  <c r="B5" i="1"/>
  <c r="K4" i="1"/>
  <c r="H4" i="1"/>
  <c r="E4" i="1"/>
  <c r="B4" i="1"/>
  <c r="E5" i="1" s="1"/>
  <c r="D12" i="1" l="1"/>
  <c r="C12" i="1"/>
  <c r="A19" i="1"/>
  <c r="A14" i="1"/>
  <c r="A9" i="1"/>
  <c r="A16" i="1"/>
  <c r="A11" i="1"/>
  <c r="A20" i="1"/>
  <c r="A18" i="1"/>
  <c r="A13" i="1"/>
  <c r="A15" i="1"/>
  <c r="A10" i="1"/>
  <c r="A17" i="1"/>
  <c r="E12" i="1" l="1"/>
  <c r="D10" i="1"/>
  <c r="C10" i="1"/>
  <c r="D15" i="1"/>
  <c r="C15" i="1"/>
  <c r="D13" i="1"/>
  <c r="C13" i="1"/>
  <c r="D20" i="1"/>
  <c r="C20" i="1"/>
  <c r="E20" i="1" s="1"/>
  <c r="D11" i="1"/>
  <c r="C11" i="1"/>
  <c r="D16" i="1"/>
  <c r="C16" i="1"/>
  <c r="C9" i="1"/>
  <c r="D9" i="1"/>
  <c r="D14" i="1"/>
  <c r="C14" i="1"/>
  <c r="D19" i="1"/>
  <c r="C19" i="1"/>
  <c r="D18" i="1"/>
  <c r="C18" i="1"/>
  <c r="E18" i="1" s="1"/>
  <c r="C17" i="1"/>
  <c r="D17" i="1"/>
  <c r="E9" i="1" l="1"/>
  <c r="E11" i="1"/>
  <c r="E19" i="1"/>
  <c r="E13" i="1"/>
  <c r="E14" i="1"/>
  <c r="E15" i="1"/>
  <c r="E16" i="1"/>
  <c r="E17" i="1"/>
  <c r="E10" i="1"/>
</calcChain>
</file>

<file path=xl/sharedStrings.xml><?xml version="1.0" encoding="utf-8"?>
<sst xmlns="http://schemas.openxmlformats.org/spreadsheetml/2006/main" count="281" uniqueCount="87">
  <si>
    <t>Resumo de Gastos Diários</t>
  </si>
  <si>
    <t>Os totais e gráficos atualizam quando você preencher as abas Débito e Crédito.</t>
  </si>
  <si>
    <t>Indicador</t>
  </si>
  <si>
    <t>Valor</t>
  </si>
  <si>
    <t>Total geral</t>
  </si>
  <si>
    <t>Total débito</t>
  </si>
  <si>
    <t>Total crédito</t>
  </si>
  <si>
    <t>Mês atual</t>
  </si>
  <si>
    <t>Maior gasto</t>
  </si>
  <si>
    <t>Gasto médio</t>
  </si>
  <si>
    <t>Lançamentos</t>
  </si>
  <si>
    <t>Ano do resumo</t>
  </si>
  <si>
    <t>Mês-chave</t>
  </si>
  <si>
    <t>Mês</t>
  </si>
  <si>
    <t>Débito</t>
  </si>
  <si>
    <t>Crédito</t>
  </si>
  <si>
    <t>Total</t>
  </si>
  <si>
    <t>Categoria</t>
  </si>
  <si>
    <t>Jan</t>
  </si>
  <si>
    <t>Alimentação</t>
  </si>
  <si>
    <t>Fev</t>
  </si>
  <si>
    <t>Transporte</t>
  </si>
  <si>
    <t>Mar</t>
  </si>
  <si>
    <t>Moradia</t>
  </si>
  <si>
    <t>Abr</t>
  </si>
  <si>
    <t>Saúde</t>
  </si>
  <si>
    <t>Mai</t>
  </si>
  <si>
    <t>Mercado</t>
  </si>
  <si>
    <t>Jun</t>
  </si>
  <si>
    <t>Lazer</t>
  </si>
  <si>
    <t>Jul</t>
  </si>
  <si>
    <t>Educação</t>
  </si>
  <si>
    <t>Ago</t>
  </si>
  <si>
    <t>Assinaturas</t>
  </si>
  <si>
    <t>Set</t>
  </si>
  <si>
    <t>Compras</t>
  </si>
  <si>
    <t>Out</t>
  </si>
  <si>
    <t>Outros</t>
  </si>
  <si>
    <t>Nov</t>
  </si>
  <si>
    <t>Dez</t>
  </si>
  <si>
    <t>Como usar: lance despesas em Débito ou Crédito; filtre as tabelas clicando nas setas do cabeçalho; consulte tudo consolidado em Todos os Gastos; ajuste categorias, contas e cartões na aba Listas.</t>
  </si>
  <si>
    <t>Gastos no Débito</t>
  </si>
  <si>
    <t>Preencha uma linha por gasto. Use os filtros da tabela para consultar por data, categoria, conta ou status.</t>
  </si>
  <si>
    <t>Dica: substitua as linhas de exemplo pelos seus gastos reais. A coluna Mês é calculada automaticamente.</t>
  </si>
  <si>
    <t>Data</t>
  </si>
  <si>
    <t>Descrição</t>
  </si>
  <si>
    <t>Conta</t>
  </si>
  <si>
    <t>Status</t>
  </si>
  <si>
    <t>Observações</t>
  </si>
  <si>
    <t>Café da manhã</t>
  </si>
  <si>
    <t>Pix</t>
  </si>
  <si>
    <t>Pago</t>
  </si>
  <si>
    <t>Exemplo</t>
  </si>
  <si>
    <t>Ônibus</t>
  </si>
  <si>
    <t>Conta corrente</t>
  </si>
  <si>
    <t>Cartão débito</t>
  </si>
  <si>
    <t>Farmácia</t>
  </si>
  <si>
    <t>Gastos no Crédito</t>
  </si>
  <si>
    <t>Controle compras no cartão, parcelas, vencimento e status de pagamento. A tabela também possui filtros.</t>
  </si>
  <si>
    <t>Dica: lance o valor da parcela que será paga na fatura. Se for compra à vista, use 1 em Parcelas.</t>
  </si>
  <si>
    <t>Cartão</t>
  </si>
  <si>
    <t>Parcelas</t>
  </si>
  <si>
    <t>Vencimento</t>
  </si>
  <si>
    <t>Streaming</t>
  </si>
  <si>
    <t>Nubank</t>
  </si>
  <si>
    <t>Pendente</t>
  </si>
  <si>
    <t>Livro</t>
  </si>
  <si>
    <t>Inter</t>
  </si>
  <si>
    <t>Tênis</t>
  </si>
  <si>
    <t>Parcela 1/3</t>
  </si>
  <si>
    <t>Cinema</t>
  </si>
  <si>
    <t>Santander</t>
  </si>
  <si>
    <t>Todos os Gastos</t>
  </si>
  <si>
    <t>Consolidação automática das abas Débito e Crédito. Use os filtros para ver tudo por tipo, data, categoria, status ou mês.</t>
  </si>
  <si>
    <t>Tipo</t>
  </si>
  <si>
    <t>Conta/Cartão</t>
  </si>
  <si>
    <t>Listas de apoio</t>
  </si>
  <si>
    <t>Categorias</t>
  </si>
  <si>
    <t>Contas débito</t>
  </si>
  <si>
    <t>Cartões crédito</t>
  </si>
  <si>
    <t>Observação</t>
  </si>
  <si>
    <t>Edite estas listas para personalizar os menus suspensos.</t>
  </si>
  <si>
    <t>Estornado</t>
  </si>
  <si>
    <t>Dinheiro</t>
  </si>
  <si>
    <t>Itaú</t>
  </si>
  <si>
    <t>Carteira digital</t>
  </si>
  <si>
    <t>Outro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</si>
</sst>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2">
    <font>
      <sz val="11"/>
      <name val="Carlito"/>
    </font>
    <font>
      <b/>
      <sz val="16"/>
      <color rgb="FFFFFFFF"/>
      <name val="Carlito"/>
    </font>
    <font>
      <b/>
      <sz val="11"/>
      <color rgb="FF1F4D78"/>
      <name val="Carlito"/>
    </font>
    <font>
      <sz val="11"/>
      <color rgb="FF1F2937"/>
      <name val="Carlito"/>
    </font>
    <font>
      <i/>
      <sz val="10"/>
      <color rgb="FF1F2937"/>
      <name val="Carlito"/>
    </font>
    <font>
      <i/>
      <sz val="11"/>
      <color rgb="FF1F2937"/>
      <name val="Carlito"/>
    </font>
    <font>
      <b/>
      <sz val="16"/>
      <color rgb="FFFFFFFF"/>
      <name val="Calibri"/>
    </font>
    <font>
      <i/>
      <sz val="10"/>
      <color rgb="FF1F2937"/>
      <name val="Calibri"/>
    </font>
    <font>
      <b/>
      <sz val="11"/>
      <color rgb="FF1F4D78"/>
      <name val="Calibri"/>
    </font>
    <font>
      <sz val="11"/>
      <color rgb="FF1F2937"/>
      <name val="Calibri"/>
    </font>
    <font>
      <sz val="11"/>
      <name val="Calibri"/>
    </font>
    <font>
      <i/>
      <sz val="11"/>
      <color rgb="FF1F293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D78"/>
      </patternFill>
    </fill>
    <fill>
      <patternFill patternType="solid">
        <fgColor rgb="FFE8EEF5"/>
      </patternFill>
    </fill>
    <fill>
      <patternFill patternType="solid">
        <fgColor rgb="FFF8FBFF"/>
      </patternFill>
    </fill>
    <fill>
      <patternFill patternType="solid">
        <fgColor rgb="FFFFF4D6"/>
      </patternFill>
    </fill>
    <fill>
      <patternFill patternType="solid">
        <fgColor rgb="FFF4F6F8"/>
      </patternFill>
    </fill>
  </fills>
  <borders count="13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/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/>
    <xf numFmtId="164" fontId="9" fillId="6" borderId="1" xfId="0" applyNumberFormat="1" applyFont="1" applyFill="1" applyBorder="1"/>
    <xf numFmtId="164" fontId="8" fillId="6" borderId="1" xfId="0" applyNumberFormat="1" applyFont="1" applyFill="1" applyBorder="1"/>
    <xf numFmtId="0" fontId="9" fillId="6" borderId="1" xfId="0" applyFont="1" applyFill="1" applyBorder="1"/>
    <xf numFmtId="0" fontId="10" fillId="0" borderId="0" xfId="0" applyFont="1"/>
    <xf numFmtId="1" fontId="9" fillId="6" borderId="1" xfId="0" applyNumberFormat="1" applyFont="1" applyFill="1" applyBorder="1"/>
    <xf numFmtId="1" fontId="8" fillId="6" borderId="1" xfId="0" applyNumberFormat="1" applyFont="1" applyFill="1" applyBorder="1"/>
    <xf numFmtId="0" fontId="9" fillId="0" borderId="1" xfId="0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1" fillId="5" borderId="5" xfId="0" applyFont="1" applyFill="1" applyBorder="1" applyAlignment="1">
      <alignment vertical="center" wrapText="1"/>
    </xf>
    <xf numFmtId="0" fontId="11" fillId="5" borderId="6" xfId="0" applyFont="1" applyFill="1" applyBorder="1" applyAlignment="1">
      <alignment vertical="center" wrapText="1"/>
    </xf>
    <xf numFmtId="0" fontId="11" fillId="5" borderId="7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11" fillId="5" borderId="9" xfId="0" applyFont="1" applyFill="1" applyBorder="1" applyAlignment="1">
      <alignment vertical="center" wrapText="1"/>
    </xf>
    <xf numFmtId="0" fontId="11" fillId="5" borderId="10" xfId="0" applyFont="1" applyFill="1" applyBorder="1" applyAlignment="1">
      <alignment vertical="center" wrapText="1"/>
    </xf>
    <xf numFmtId="0" fontId="11" fillId="5" borderId="11" xfId="0" applyFont="1" applyFill="1" applyBorder="1" applyAlignment="1">
      <alignment vertical="center" wrapText="1"/>
    </xf>
    <xf numFmtId="0" fontId="11" fillId="5" borderId="12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5" borderId="2" xfId="0" applyFont="1" applyFill="1" applyBorder="1"/>
    <xf numFmtId="0" fontId="5" fillId="5" borderId="3" xfId="0" applyFont="1" applyFill="1" applyBorder="1"/>
    <xf numFmtId="0" fontId="5" fillId="5" borderId="4" xfId="0" applyFont="1" applyFill="1" applyBorder="1"/>
  </cellXfs>
  <cellStyles count="1">
    <cellStyle name="Normal" xfId="0" builtinId="0"/>
  </cellStyles>
  <dxfs count="3">
    <dxf>
      <font>
        <color rgb="FF9B1C1C"/>
      </font>
      <fill>
        <patternFill patternType="solid">
          <bgColor rgb="FFFDE2E1"/>
        </patternFill>
      </fill>
    </dxf>
    <dxf>
      <font>
        <color rgb="FF9B1C1C"/>
      </font>
      <fill>
        <patternFill patternType="solid">
          <bgColor rgb="FFFDE2E1"/>
        </patternFill>
      </fill>
    </dxf>
    <dxf>
      <font>
        <color rgb="FF9B1C1C"/>
      </font>
      <fill>
        <patternFill patternType="solid">
          <bgColor rgb="FFFDE2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Gastos por mês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Débito</c:v>
          </c:tx>
          <c:cat>
            <c:strRef>
              <c:f>Resumo!$B$9:$B$20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Resumo!$C$9:$C$20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7F-48C5-8941-CD29204AC11E}"/>
            </c:ext>
          </c:extLst>
        </c:ser>
        <c:ser>
          <c:idx val="1"/>
          <c:order val="1"/>
          <c:tx>
            <c:v>Crédito</c:v>
          </c:tx>
          <c:cat>
            <c:strRef>
              <c:f>Resumo!$B$9:$B$20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Resumo!$D$9:$D$20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200.6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7F-48C5-8941-CD29204AC11E}"/>
            </c:ext>
          </c:extLst>
        </c:ser>
        <c:ser>
          <c:idx val="2"/>
          <c:order val="2"/>
          <c:tx>
            <c:v>Total</c:v>
          </c:tx>
          <c:cat>
            <c:strRef>
              <c:f>Resumo!$B$9:$B$20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Resumo!$E$9:$E$20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353.6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7F-48C5-8941-CD29204AC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R$&quot;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Gastos por categoria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Débito</c:v>
          </c:tx>
          <c:invertIfNegative val="1"/>
          <c:cat>
            <c:strRef>
              <c:f>Resumo!$G$9:$G$18</c:f>
              <c:strCache>
                <c:ptCount val="10"/>
                <c:pt idx="0">
                  <c:v>Alimentação</c:v>
                </c:pt>
                <c:pt idx="1">
                  <c:v>Transporte</c:v>
                </c:pt>
                <c:pt idx="2">
                  <c:v>Moradia</c:v>
                </c:pt>
                <c:pt idx="3">
                  <c:v>Saúde</c:v>
                </c:pt>
                <c:pt idx="4">
                  <c:v>Mercado</c:v>
                </c:pt>
                <c:pt idx="5">
                  <c:v>Lazer</c:v>
                </c:pt>
                <c:pt idx="6">
                  <c:v>Educação</c:v>
                </c:pt>
                <c:pt idx="7">
                  <c:v>Assinaturas</c:v>
                </c:pt>
                <c:pt idx="8">
                  <c:v>Compras</c:v>
                </c:pt>
                <c:pt idx="9">
                  <c:v>Outros</c:v>
                </c:pt>
              </c:strCache>
            </c:strRef>
          </c:cat>
          <c:val>
            <c:numRef>
              <c:f>Resumo!$H$9:$H$18</c:f>
              <c:numCache>
                <c:formatCode>"R$"\ #,##0.00</c:formatCode>
                <c:ptCount val="10"/>
                <c:pt idx="0">
                  <c:v>18.5</c:v>
                </c:pt>
                <c:pt idx="1">
                  <c:v>5.2</c:v>
                </c:pt>
                <c:pt idx="2">
                  <c:v>0</c:v>
                </c:pt>
                <c:pt idx="3">
                  <c:v>42.9</c:v>
                </c:pt>
                <c:pt idx="4">
                  <c:v>86.4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F-4241-8480-F8E9BF9359C0}"/>
            </c:ext>
          </c:extLst>
        </c:ser>
        <c:ser>
          <c:idx val="1"/>
          <c:order val="1"/>
          <c:tx>
            <c:v>Crédito</c:v>
          </c:tx>
          <c:invertIfNegative val="1"/>
          <c:cat>
            <c:strRef>
              <c:f>Resumo!$G$9:$G$18</c:f>
              <c:strCache>
                <c:ptCount val="10"/>
                <c:pt idx="0">
                  <c:v>Alimentação</c:v>
                </c:pt>
                <c:pt idx="1">
                  <c:v>Transporte</c:v>
                </c:pt>
                <c:pt idx="2">
                  <c:v>Moradia</c:v>
                </c:pt>
                <c:pt idx="3">
                  <c:v>Saúde</c:v>
                </c:pt>
                <c:pt idx="4">
                  <c:v>Mercado</c:v>
                </c:pt>
                <c:pt idx="5">
                  <c:v>Lazer</c:v>
                </c:pt>
                <c:pt idx="6">
                  <c:v>Educação</c:v>
                </c:pt>
                <c:pt idx="7">
                  <c:v>Assinaturas</c:v>
                </c:pt>
                <c:pt idx="8">
                  <c:v>Compras</c:v>
                </c:pt>
                <c:pt idx="9">
                  <c:v>Outros</c:v>
                </c:pt>
              </c:strCache>
            </c:strRef>
          </c:cat>
          <c:val>
            <c:numRef>
              <c:f>Resumo!$I$9:$I$18</c:f>
              <c:numCache>
                <c:formatCode>"R$"\ 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36</c:v>
                </c:pt>
                <c:pt idx="6">
                  <c:v>54.8</c:v>
                </c:pt>
                <c:pt idx="7">
                  <c:v>29.9</c:v>
                </c:pt>
                <c:pt idx="8">
                  <c:v>79.900000000000006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EF-4241-8480-F8E9BF9359C0}"/>
            </c:ext>
          </c:extLst>
        </c:ser>
        <c:ser>
          <c:idx val="2"/>
          <c:order val="2"/>
          <c:tx>
            <c:v>Total</c:v>
          </c:tx>
          <c:invertIfNegative val="1"/>
          <c:cat>
            <c:strRef>
              <c:f>Resumo!$G$9:$G$18</c:f>
              <c:strCache>
                <c:ptCount val="10"/>
                <c:pt idx="0">
                  <c:v>Alimentação</c:v>
                </c:pt>
                <c:pt idx="1">
                  <c:v>Transporte</c:v>
                </c:pt>
                <c:pt idx="2">
                  <c:v>Moradia</c:v>
                </c:pt>
                <c:pt idx="3">
                  <c:v>Saúde</c:v>
                </c:pt>
                <c:pt idx="4">
                  <c:v>Mercado</c:v>
                </c:pt>
                <c:pt idx="5">
                  <c:v>Lazer</c:v>
                </c:pt>
                <c:pt idx="6">
                  <c:v>Educação</c:v>
                </c:pt>
                <c:pt idx="7">
                  <c:v>Assinaturas</c:v>
                </c:pt>
                <c:pt idx="8">
                  <c:v>Compras</c:v>
                </c:pt>
                <c:pt idx="9">
                  <c:v>Outros</c:v>
                </c:pt>
              </c:strCache>
            </c:strRef>
          </c:cat>
          <c:val>
            <c:numRef>
              <c:f>Resumo!$J$9:$J$18</c:f>
              <c:numCache>
                <c:formatCode>"R$"\ #,##0.00</c:formatCode>
                <c:ptCount val="10"/>
                <c:pt idx="0">
                  <c:v>18.5</c:v>
                </c:pt>
                <c:pt idx="1">
                  <c:v>5.2</c:v>
                </c:pt>
                <c:pt idx="2">
                  <c:v>0</c:v>
                </c:pt>
                <c:pt idx="3">
                  <c:v>42.9</c:v>
                </c:pt>
                <c:pt idx="4">
                  <c:v>86.4</c:v>
                </c:pt>
                <c:pt idx="5">
                  <c:v>36</c:v>
                </c:pt>
                <c:pt idx="6">
                  <c:v>54.8</c:v>
                </c:pt>
                <c:pt idx="7">
                  <c:v>29.9</c:v>
                </c:pt>
                <c:pt idx="8">
                  <c:v>79.900000000000006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EF-4241-8480-F8E9BF935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R$&quot;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6</xdr:col>
      <xdr:colOff>0</xdr:colOff>
      <xdr:row>43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ebito" displayName="tblDebito" ref="A5:H205">
  <autoFilter ref="A5:H205" xr:uid="{00000000-0009-0000-0100-000001000000}"/>
  <tableColumns count="8">
    <tableColumn id="1" xr3:uid="{00000000-0010-0000-0000-000001000000}" name="Data"/>
    <tableColumn id="2" xr3:uid="{00000000-0010-0000-0000-000002000000}" name="Descrição"/>
    <tableColumn id="3" xr3:uid="{00000000-0010-0000-0000-000003000000}" name="Categoria"/>
    <tableColumn id="4" xr3:uid="{00000000-0010-0000-0000-000004000000}" name="Conta"/>
    <tableColumn id="5" xr3:uid="{00000000-0010-0000-0000-000005000000}" name="Valor"/>
    <tableColumn id="6" xr3:uid="{00000000-0010-0000-0000-000006000000}" name="Status"/>
    <tableColumn id="7" xr3:uid="{00000000-0010-0000-0000-000007000000}" name="Observações"/>
    <tableColumn id="8" xr3:uid="{00000000-0010-0000-0000-000008000000}" name="Mê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redito" displayName="tblCredito" ref="A5:J205">
  <autoFilter ref="A5:J205" xr:uid="{00000000-0009-0000-0100-000002000000}"/>
  <tableColumns count="10">
    <tableColumn id="1" xr3:uid="{00000000-0010-0000-0100-000001000000}" name="Data"/>
    <tableColumn id="2" xr3:uid="{00000000-0010-0000-0100-000002000000}" name="Descrição"/>
    <tableColumn id="3" xr3:uid="{00000000-0010-0000-0100-000003000000}" name="Categoria"/>
    <tableColumn id="4" xr3:uid="{00000000-0010-0000-0100-000004000000}" name="Cartão"/>
    <tableColumn id="5" xr3:uid="{00000000-0010-0000-0100-000005000000}" name="Valor"/>
    <tableColumn id="6" xr3:uid="{00000000-0010-0000-0100-000006000000}" name="Parcelas"/>
    <tableColumn id="7" xr3:uid="{00000000-0010-0000-0100-000007000000}" name="Vencimento"/>
    <tableColumn id="8" xr3:uid="{00000000-0010-0000-0100-000008000000}" name="Status"/>
    <tableColumn id="9" xr3:uid="{00000000-0010-0000-0100-000009000000}" name="Observações"/>
    <tableColumn id="10" xr3:uid="{00000000-0010-0000-0100-00000A000000}" name="Mê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odosGastos" displayName="tblTodosGastos" ref="A5:I405">
  <autoFilter ref="A5:I405" xr:uid="{00000000-0009-0000-0100-000003000000}"/>
  <tableColumns count="9">
    <tableColumn id="1" xr3:uid="{00000000-0010-0000-0200-000001000000}" name="Tipo"/>
    <tableColumn id="2" xr3:uid="{00000000-0010-0000-0200-000002000000}" name="Data"/>
    <tableColumn id="3" xr3:uid="{00000000-0010-0000-0200-000003000000}" name="Descrição"/>
    <tableColumn id="4" xr3:uid="{00000000-0010-0000-0200-000004000000}" name="Categoria"/>
    <tableColumn id="5" xr3:uid="{00000000-0010-0000-0200-000005000000}" name="Conta/Cartão"/>
    <tableColumn id="6" xr3:uid="{00000000-0010-0000-0200-000006000000}" name="Valor"/>
    <tableColumn id="7" xr3:uid="{00000000-0010-0000-0200-000007000000}" name="Status"/>
    <tableColumn id="8" xr3:uid="{00000000-0010-0000-0200-000008000000}" name="Mês"/>
    <tableColumn id="9" xr3:uid="{00000000-0010-0000-0200-000009000000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showGridLines="0" tabSelected="1" workbookViewId="0">
      <selection activeCell="P16" sqref="P16"/>
    </sheetView>
  </sheetViews>
  <sheetFormatPr defaultRowHeight="13.8"/>
  <cols>
    <col min="1" max="1" width="13.69921875" customWidth="1"/>
    <col min="2" max="3" width="12.5" customWidth="1"/>
    <col min="4" max="4" width="13.69921875" customWidth="1"/>
    <col min="5" max="5" width="12.5" customWidth="1"/>
    <col min="6" max="6" width="3.09765625" customWidth="1"/>
    <col min="7" max="7" width="17.5" customWidth="1"/>
    <col min="8" max="11" width="13.09765625" customWidth="1"/>
    <col min="12" max="12" width="3.09765625" customWidth="1"/>
  </cols>
  <sheetData>
    <row r="1" spans="1:12" ht="27" customHeight="1">
      <c r="A1" s="18" t="s">
        <v>0</v>
      </c>
      <c r="B1" s="18" t="s">
        <v>0</v>
      </c>
      <c r="C1" s="18" t="s">
        <v>0</v>
      </c>
      <c r="D1" s="18" t="s">
        <v>0</v>
      </c>
      <c r="E1" s="18" t="s">
        <v>0</v>
      </c>
      <c r="F1" s="18" t="s">
        <v>0</v>
      </c>
      <c r="G1" s="18" t="s">
        <v>0</v>
      </c>
      <c r="H1" s="18" t="s">
        <v>0</v>
      </c>
      <c r="I1" s="18" t="s">
        <v>0</v>
      </c>
      <c r="J1" s="18" t="s">
        <v>0</v>
      </c>
      <c r="K1" s="18" t="s">
        <v>0</v>
      </c>
      <c r="L1" s="18" t="s">
        <v>0</v>
      </c>
    </row>
    <row r="2" spans="1:12">
      <c r="A2" s="19" t="s">
        <v>1</v>
      </c>
      <c r="B2" s="19" t="s">
        <v>1</v>
      </c>
      <c r="C2" s="19" t="s">
        <v>1</v>
      </c>
      <c r="D2" s="19" t="s">
        <v>1</v>
      </c>
      <c r="E2" s="19" t="s">
        <v>1</v>
      </c>
      <c r="F2" s="19" t="s">
        <v>1</v>
      </c>
      <c r="G2" s="19" t="s">
        <v>1</v>
      </c>
      <c r="H2" s="19" t="s">
        <v>1</v>
      </c>
      <c r="I2" s="19" t="s">
        <v>1</v>
      </c>
      <c r="J2" s="19" t="s">
        <v>1</v>
      </c>
      <c r="K2" s="19" t="s">
        <v>1</v>
      </c>
      <c r="L2" s="19" t="s">
        <v>1</v>
      </c>
    </row>
    <row r="3" spans="1:12" ht="14.4">
      <c r="A3" s="8" t="s">
        <v>2</v>
      </c>
      <c r="B3" s="8" t="s">
        <v>3</v>
      </c>
      <c r="C3" s="8"/>
      <c r="D3" s="8" t="s">
        <v>2</v>
      </c>
      <c r="E3" s="8" t="s">
        <v>3</v>
      </c>
      <c r="F3" s="8"/>
      <c r="G3" s="8" t="s">
        <v>2</v>
      </c>
      <c r="H3" s="8" t="s">
        <v>3</v>
      </c>
      <c r="I3" s="8"/>
      <c r="J3" s="8" t="s">
        <v>2</v>
      </c>
      <c r="K3" s="8" t="s">
        <v>3</v>
      </c>
      <c r="L3" s="8"/>
    </row>
    <row r="4" spans="1:12" ht="14.4">
      <c r="A4" s="9" t="s">
        <v>4</v>
      </c>
      <c r="B4" s="10">
        <f>SUM(Débito!E6:E205)+SUM(Crédito!E6:E205)</f>
        <v>353.6</v>
      </c>
      <c r="C4" s="10"/>
      <c r="D4" s="11" t="s">
        <v>5</v>
      </c>
      <c r="E4" s="10">
        <f>SUM(Débito!E6:E205)</f>
        <v>153</v>
      </c>
      <c r="F4" s="12"/>
      <c r="G4" s="9" t="s">
        <v>6</v>
      </c>
      <c r="H4" s="10">
        <f>SUM(Crédito!E6:E205)</f>
        <v>200.6</v>
      </c>
      <c r="I4" s="10"/>
      <c r="J4" s="11" t="s">
        <v>7</v>
      </c>
      <c r="K4" s="10">
        <f ca="1">SUMIFS(Débito!E6:E205,Débito!H6:H205,TEXT(TODAY(),"yyyy-mm"))+SUMIFS(Crédito!E6:E205,Crédito!J6:J205,TEXT(TODAY(),"yyyy-mm"))</f>
        <v>353.6</v>
      </c>
      <c r="L4" s="13"/>
    </row>
    <row r="5" spans="1:12" ht="14.4">
      <c r="A5" s="9" t="s">
        <v>8</v>
      </c>
      <c r="B5" s="10">
        <f>MAX(Débito!E6:E205,Crédito!E6:E205)</f>
        <v>86.4</v>
      </c>
      <c r="C5" s="10"/>
      <c r="D5" s="11" t="s">
        <v>9</v>
      </c>
      <c r="E5" s="10">
        <f>IFERROR(B4/(COUNT(Débito!E6:E205)+COUNT(Crédito!E6:E205)),0)</f>
        <v>44.2</v>
      </c>
      <c r="F5" s="12"/>
      <c r="G5" s="9" t="s">
        <v>10</v>
      </c>
      <c r="H5" s="14">
        <f>COUNT(Débito!E6:E205)+COUNT(Crédito!E6:E205)</f>
        <v>8</v>
      </c>
      <c r="I5" s="14"/>
      <c r="J5" s="15" t="s">
        <v>11</v>
      </c>
      <c r="K5" s="14">
        <f ca="1">YEAR(TODAY())</f>
        <v>2026</v>
      </c>
      <c r="L5" s="13"/>
    </row>
    <row r="6" spans="1:12" ht="14.4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 ht="14.4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 ht="17.25" customHeight="1">
      <c r="A8" s="8" t="s">
        <v>12</v>
      </c>
      <c r="B8" s="8" t="s">
        <v>13</v>
      </c>
      <c r="C8" s="8" t="s">
        <v>14</v>
      </c>
      <c r="D8" s="8" t="s">
        <v>15</v>
      </c>
      <c r="E8" s="8" t="s">
        <v>16</v>
      </c>
      <c r="F8" s="13"/>
      <c r="G8" s="8" t="s">
        <v>17</v>
      </c>
      <c r="H8" s="8" t="s">
        <v>14</v>
      </c>
      <c r="I8" s="8" t="s">
        <v>15</v>
      </c>
      <c r="J8" s="8" t="s">
        <v>16</v>
      </c>
      <c r="K8" s="13"/>
      <c r="L8" s="13"/>
    </row>
    <row r="9" spans="1:12" ht="17.25" customHeight="1">
      <c r="A9" s="16" t="str">
        <f ca="1">TEXT(DATE($K$5,1,1),"yyyy-mm")</f>
        <v>yyyy-01</v>
      </c>
      <c r="B9" s="16" t="s">
        <v>18</v>
      </c>
      <c r="C9" s="17">
        <f ca="1">SUMIFS(Débito!$E$6:$E$205,Débito!$H$6:$H$205,$A9)</f>
        <v>0</v>
      </c>
      <c r="D9" s="17">
        <f ca="1">SUMIFS(Crédito!$E$6:$E$205,Crédito!$J$6:$J$205,$A9)</f>
        <v>0</v>
      </c>
      <c r="E9" s="17">
        <f t="shared" ref="E9:E20" ca="1" si="0">C9+D9</f>
        <v>0</v>
      </c>
      <c r="F9" s="13"/>
      <c r="G9" s="16" t="s">
        <v>19</v>
      </c>
      <c r="H9" s="17">
        <f>SUMIFS(Débito!$E$6:$E$205,Débito!$C$6:$C$205,G9)</f>
        <v>18.5</v>
      </c>
      <c r="I9" s="17">
        <f>SUMIFS(Crédito!$E$6:$E$205,Crédito!$C$6:$C$205,G9)</f>
        <v>0</v>
      </c>
      <c r="J9" s="17">
        <f t="shared" ref="J9:J18" si="1">H9+I9</f>
        <v>18.5</v>
      </c>
      <c r="K9" s="13"/>
      <c r="L9" s="13"/>
    </row>
    <row r="10" spans="1:12" ht="17.25" customHeight="1">
      <c r="A10" s="16" t="str">
        <f ca="1">TEXT(DATE($K$5,2,1),"yyyy-mm")</f>
        <v>yyyy-02</v>
      </c>
      <c r="B10" s="16" t="s">
        <v>20</v>
      </c>
      <c r="C10" s="17">
        <f ca="1">SUMIFS(Débito!$E$6:$E$205,Débito!$H$6:$H$205,$A10)</f>
        <v>0</v>
      </c>
      <c r="D10" s="17">
        <f ca="1">SUMIFS(Crédito!$E$6:$E$205,Crédito!$J$6:$J$205,$A10)</f>
        <v>0</v>
      </c>
      <c r="E10" s="17">
        <f t="shared" ca="1" si="0"/>
        <v>0</v>
      </c>
      <c r="F10" s="13"/>
      <c r="G10" s="16" t="s">
        <v>21</v>
      </c>
      <c r="H10" s="17">
        <f>SUMIFS(Débito!$E$6:$E$205,Débito!$C$6:$C$205,G10)</f>
        <v>5.2</v>
      </c>
      <c r="I10" s="17">
        <f>SUMIFS(Crédito!$E$6:$E$205,Crédito!$C$6:$C$205,G10)</f>
        <v>0</v>
      </c>
      <c r="J10" s="17">
        <f t="shared" si="1"/>
        <v>5.2</v>
      </c>
      <c r="K10" s="13"/>
      <c r="L10" s="13"/>
    </row>
    <row r="11" spans="1:12" ht="17.25" customHeight="1">
      <c r="A11" s="16" t="str">
        <f ca="1">TEXT(DATE($K$5,3,1),"yyyy-mm")</f>
        <v>yyyy-03</v>
      </c>
      <c r="B11" s="16" t="s">
        <v>22</v>
      </c>
      <c r="C11" s="17">
        <f ca="1">SUMIFS(Débito!$E$6:$E$205,Débito!$H$6:$H$205,$A11)</f>
        <v>0</v>
      </c>
      <c r="D11" s="17">
        <f ca="1">SUMIFS(Crédito!$E$6:$E$205,Crédito!$J$6:$J$205,$A11)</f>
        <v>0</v>
      </c>
      <c r="E11" s="17">
        <f t="shared" ca="1" si="0"/>
        <v>0</v>
      </c>
      <c r="F11" s="13"/>
      <c r="G11" s="16" t="s">
        <v>23</v>
      </c>
      <c r="H11" s="17">
        <f>SUMIFS(Débito!$E$6:$E$205,Débito!$C$6:$C$205,G11)</f>
        <v>0</v>
      </c>
      <c r="I11" s="17">
        <f>SUMIFS(Crédito!$E$6:$E$205,Crédito!$C$6:$C$205,G11)</f>
        <v>0</v>
      </c>
      <c r="J11" s="17">
        <f>H11+I11</f>
        <v>0</v>
      </c>
      <c r="K11" s="13"/>
      <c r="L11" s="13"/>
    </row>
    <row r="12" spans="1:12" ht="17.25" customHeight="1">
      <c r="A12" s="16" t="str">
        <f ca="1">TEXT(DATE($K$5,4,1),"yyyy-mm")</f>
        <v>yyyy-04</v>
      </c>
      <c r="B12" s="16" t="s">
        <v>24</v>
      </c>
      <c r="C12" s="17">
        <f ca="1">SUMIFS(Débito!$E$6:$E$205,Débito!$H$6:$H$205,$A12)</f>
        <v>0</v>
      </c>
      <c r="D12" s="17">
        <f ca="1">SUMIFS(Crédito!$E$6:$E$205,Crédito!$J$6:$J$205,$A12)</f>
        <v>0</v>
      </c>
      <c r="E12" s="17">
        <f t="shared" ca="1" si="0"/>
        <v>0</v>
      </c>
      <c r="F12" s="13"/>
      <c r="G12" s="16" t="s">
        <v>25</v>
      </c>
      <c r="H12" s="17">
        <f>SUMIFS(Débito!$E$6:$E$205,Débito!$C$6:$C$205,G12)</f>
        <v>42.9</v>
      </c>
      <c r="I12" s="17">
        <f>SUMIFS(Crédito!$E$6:$E$205,Crédito!$C$6:$C$205,G12)</f>
        <v>0</v>
      </c>
      <c r="J12" s="17">
        <f t="shared" si="1"/>
        <v>42.9</v>
      </c>
      <c r="K12" s="13"/>
      <c r="L12" s="13"/>
    </row>
    <row r="13" spans="1:12" ht="17.25" customHeight="1">
      <c r="A13" s="16" t="str">
        <f ca="1">TEXT(DATE($K$5,5,1),"yyyy-mm")</f>
        <v>yyyy-05</v>
      </c>
      <c r="B13" s="16" t="s">
        <v>26</v>
      </c>
      <c r="C13" s="17">
        <f ca="1">SUMIFS(Débito!$E$6:$E$205,Débito!$H$6:$H$205,$A13)</f>
        <v>0</v>
      </c>
      <c r="D13" s="17">
        <f ca="1">SUMIFS(Crédito!$E$6:$E$205,Crédito!$J$6:$J$205,$A13)</f>
        <v>0</v>
      </c>
      <c r="E13" s="17">
        <f t="shared" ca="1" si="0"/>
        <v>0</v>
      </c>
      <c r="F13" s="13"/>
      <c r="G13" s="16" t="s">
        <v>27</v>
      </c>
      <c r="H13" s="17">
        <f>SUMIFS(Débito!$E$6:$E$205,Débito!$C$6:$C$205,G13)</f>
        <v>86.4</v>
      </c>
      <c r="I13" s="17">
        <f>SUMIFS(Crédito!$E$6:$E$205,Crédito!$C$6:$C$205,G13)</f>
        <v>0</v>
      </c>
      <c r="J13" s="17">
        <f t="shared" si="1"/>
        <v>86.4</v>
      </c>
      <c r="K13" s="13"/>
      <c r="L13" s="13"/>
    </row>
    <row r="14" spans="1:12" ht="17.25" customHeight="1">
      <c r="A14" s="16" t="str">
        <f ca="1">TEXT(DATE($K$5,6,1),"yyyy-mm")</f>
        <v>yyyy-06</v>
      </c>
      <c r="B14" s="16" t="s">
        <v>28</v>
      </c>
      <c r="C14" s="17">
        <f ca="1">SUMIFS(Débito!$E$6:$E$205,Débito!$H$6:$H$205,$A14)</f>
        <v>153</v>
      </c>
      <c r="D14" s="17">
        <f ca="1">SUMIFS(Crédito!$E$6:$E$205,Crédito!$J$6:$J$205,$A14)</f>
        <v>200.6</v>
      </c>
      <c r="E14" s="17">
        <f t="shared" ca="1" si="0"/>
        <v>353.6</v>
      </c>
      <c r="F14" s="13"/>
      <c r="G14" s="16" t="s">
        <v>29</v>
      </c>
      <c r="H14" s="17">
        <f>SUMIFS(Débito!$E$6:$E$205,Débito!$C$6:$C$205,G14)</f>
        <v>0</v>
      </c>
      <c r="I14" s="17">
        <f>SUMIFS(Crédito!$E$6:$E$205,Crédito!$C$6:$C$205,G14)</f>
        <v>36</v>
      </c>
      <c r="J14" s="17">
        <f t="shared" si="1"/>
        <v>36</v>
      </c>
      <c r="K14" s="13"/>
      <c r="L14" s="13"/>
    </row>
    <row r="15" spans="1:12" ht="17.25" customHeight="1">
      <c r="A15" s="16" t="str">
        <f ca="1">TEXT(DATE($K$5,7,1),"yyyy-mm")</f>
        <v>yyyy-07</v>
      </c>
      <c r="B15" s="16" t="s">
        <v>30</v>
      </c>
      <c r="C15" s="17">
        <f ca="1">SUMIFS(Débito!$E$6:$E$205,Débito!$H$6:$H$205,$A15)</f>
        <v>0</v>
      </c>
      <c r="D15" s="17">
        <f ca="1">SUMIFS(Crédito!$E$6:$E$205,Crédito!$J$6:$J$205,$A15)</f>
        <v>0</v>
      </c>
      <c r="E15" s="17">
        <f t="shared" ca="1" si="0"/>
        <v>0</v>
      </c>
      <c r="F15" s="13"/>
      <c r="G15" s="16" t="s">
        <v>31</v>
      </c>
      <c r="H15" s="17">
        <f>SUMIFS(Débito!$E$6:$E$205,Débito!$C$6:$C$205,G15)</f>
        <v>0</v>
      </c>
      <c r="I15" s="17">
        <f>SUMIFS(Crédito!$E$6:$E$205,Crédito!$C$6:$C$205,G15)</f>
        <v>54.8</v>
      </c>
      <c r="J15" s="17">
        <f t="shared" si="1"/>
        <v>54.8</v>
      </c>
      <c r="K15" s="13"/>
      <c r="L15" s="13"/>
    </row>
    <row r="16" spans="1:12" ht="17.25" customHeight="1">
      <c r="A16" s="16" t="str">
        <f ca="1">TEXT(DATE($K$5,8,1),"yyyy-mm")</f>
        <v>yyyy-08</v>
      </c>
      <c r="B16" s="16" t="s">
        <v>32</v>
      </c>
      <c r="C16" s="17">
        <f ca="1">SUMIFS(Débito!$E$6:$E$205,Débito!$H$6:$H$205,$A16)</f>
        <v>0</v>
      </c>
      <c r="D16" s="17">
        <f ca="1">SUMIFS(Crédito!$E$6:$E$205,Crédito!$J$6:$J$205,$A16)</f>
        <v>0</v>
      </c>
      <c r="E16" s="17">
        <f t="shared" ca="1" si="0"/>
        <v>0</v>
      </c>
      <c r="F16" s="13"/>
      <c r="G16" s="16" t="s">
        <v>33</v>
      </c>
      <c r="H16" s="17">
        <f>SUMIFS(Débito!$E$6:$E$205,Débito!$C$6:$C$205,G16)</f>
        <v>0</v>
      </c>
      <c r="I16" s="17">
        <f>SUMIFS(Crédito!$E$6:$E$205,Crédito!$C$6:$C$205,G16)</f>
        <v>29.9</v>
      </c>
      <c r="J16" s="17">
        <f t="shared" si="1"/>
        <v>29.9</v>
      </c>
      <c r="K16" s="13"/>
      <c r="L16" s="13"/>
    </row>
    <row r="17" spans="1:12" ht="17.25" customHeight="1">
      <c r="A17" s="16" t="str">
        <f ca="1">TEXT(DATE($K$5,9,1),"yyyy-mm")</f>
        <v>yyyy-09</v>
      </c>
      <c r="B17" s="16" t="s">
        <v>34</v>
      </c>
      <c r="C17" s="17">
        <f ca="1">SUMIFS(Débito!$E$6:$E$205,Débito!$H$6:$H$205,$A17)</f>
        <v>0</v>
      </c>
      <c r="D17" s="17">
        <f ca="1">SUMIFS(Crédito!$E$6:$E$205,Crédito!$J$6:$J$205,$A17)</f>
        <v>0</v>
      </c>
      <c r="E17" s="17">
        <f t="shared" ca="1" si="0"/>
        <v>0</v>
      </c>
      <c r="F17" s="13"/>
      <c r="G17" s="16" t="s">
        <v>35</v>
      </c>
      <c r="H17" s="17">
        <f>SUMIFS(Débito!$E$6:$E$205,Débito!$C$6:$C$205,G17)</f>
        <v>0</v>
      </c>
      <c r="I17" s="17">
        <f>SUMIFS(Crédito!$E$6:$E$205,Crédito!$C$6:$C$205,G17)</f>
        <v>79.900000000000006</v>
      </c>
      <c r="J17" s="17">
        <f t="shared" si="1"/>
        <v>79.900000000000006</v>
      </c>
      <c r="K17" s="13"/>
      <c r="L17" s="13"/>
    </row>
    <row r="18" spans="1:12" ht="17.25" customHeight="1">
      <c r="A18" s="16" t="str">
        <f ca="1">TEXT(DATE($K$5,10,1),"yyyy-mm")</f>
        <v>yyyy-10</v>
      </c>
      <c r="B18" s="16" t="s">
        <v>36</v>
      </c>
      <c r="C18" s="17">
        <f ca="1">SUMIFS(Débito!$E$6:$E$205,Débito!$H$6:$H$205,$A18)</f>
        <v>0</v>
      </c>
      <c r="D18" s="17">
        <f ca="1">SUMIFS(Crédito!$E$6:$E$205,Crédito!$J$6:$J$205,$A18)</f>
        <v>0</v>
      </c>
      <c r="E18" s="17">
        <f t="shared" ca="1" si="0"/>
        <v>0</v>
      </c>
      <c r="F18" s="13"/>
      <c r="G18" s="16" t="s">
        <v>37</v>
      </c>
      <c r="H18" s="17">
        <f>SUMIFS(Débito!$E$6:$E$205,Débito!$C$6:$C$205,G18)</f>
        <v>0</v>
      </c>
      <c r="I18" s="17">
        <f>SUMIFS(Crédito!$E$6:$E$205,Crédito!$C$6:$C$205,G18)</f>
        <v>0</v>
      </c>
      <c r="J18" s="17">
        <f t="shared" si="1"/>
        <v>0</v>
      </c>
      <c r="K18" s="13"/>
      <c r="L18" s="13"/>
    </row>
    <row r="19" spans="1:12" ht="17.25" customHeight="1">
      <c r="A19" s="16" t="str">
        <f ca="1">TEXT(DATE($K$5,11,1),"yyyy-mm")</f>
        <v>yyyy-11</v>
      </c>
      <c r="B19" s="16" t="s">
        <v>38</v>
      </c>
      <c r="C19" s="17">
        <f ca="1">SUMIFS(Débito!$E$6:$E$205,Débito!$H$6:$H$205,$A19)</f>
        <v>0</v>
      </c>
      <c r="D19" s="17">
        <f ca="1">SUMIFS(Crédito!$E$6:$E$205,Crédito!$J$6:$J$205,$A19)</f>
        <v>0</v>
      </c>
      <c r="E19" s="17">
        <f t="shared" ca="1" si="0"/>
        <v>0</v>
      </c>
      <c r="F19" s="13"/>
      <c r="G19" s="13"/>
      <c r="H19" s="13"/>
      <c r="I19" s="13"/>
      <c r="J19" s="13"/>
      <c r="K19" s="13"/>
      <c r="L19" s="13"/>
    </row>
    <row r="20" spans="1:12" ht="17.25" customHeight="1">
      <c r="A20" s="16" t="str">
        <f ca="1">TEXT(DATE($K$5,12,1),"yyyy-mm")</f>
        <v>yyyy-12</v>
      </c>
      <c r="B20" s="16" t="s">
        <v>39</v>
      </c>
      <c r="C20" s="17">
        <f ca="1">SUMIFS(Débito!$E$6:$E$205,Débito!$H$6:$H$205,$A20)</f>
        <v>0</v>
      </c>
      <c r="D20" s="17">
        <f ca="1">SUMIFS(Crédito!$E$6:$E$205,Crédito!$J$6:$J$205,$A20)</f>
        <v>0</v>
      </c>
      <c r="E20" s="17">
        <f t="shared" ca="1" si="0"/>
        <v>0</v>
      </c>
      <c r="F20" s="13"/>
      <c r="G20" s="13"/>
      <c r="H20" s="13"/>
      <c r="I20" s="13"/>
      <c r="J20" s="13"/>
      <c r="K20" s="13"/>
      <c r="L20" s="13"/>
    </row>
    <row r="21" spans="1:12" ht="14.4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14.4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>
      <c r="A23" s="20" t="s">
        <v>40</v>
      </c>
      <c r="B23" s="21" t="s">
        <v>40</v>
      </c>
      <c r="C23" s="21" t="s">
        <v>40</v>
      </c>
      <c r="D23" s="21" t="s">
        <v>40</v>
      </c>
      <c r="E23" s="21" t="s">
        <v>40</v>
      </c>
      <c r="F23" s="21" t="s">
        <v>40</v>
      </c>
      <c r="G23" s="21" t="s">
        <v>40</v>
      </c>
      <c r="H23" s="21" t="s">
        <v>40</v>
      </c>
      <c r="I23" s="21" t="s">
        <v>40</v>
      </c>
      <c r="J23" s="21" t="s">
        <v>40</v>
      </c>
      <c r="K23" s="21" t="s">
        <v>40</v>
      </c>
      <c r="L23" s="22" t="s">
        <v>40</v>
      </c>
    </row>
    <row r="24" spans="1:12">
      <c r="A24" s="23" t="s">
        <v>40</v>
      </c>
      <c r="B24" s="24" t="s">
        <v>40</v>
      </c>
      <c r="C24" s="24" t="s">
        <v>40</v>
      </c>
      <c r="D24" s="24" t="s">
        <v>40</v>
      </c>
      <c r="E24" s="24" t="s">
        <v>40</v>
      </c>
      <c r="F24" s="24" t="s">
        <v>40</v>
      </c>
      <c r="G24" s="24" t="s">
        <v>40</v>
      </c>
      <c r="H24" s="24" t="s">
        <v>40</v>
      </c>
      <c r="I24" s="24" t="s">
        <v>40</v>
      </c>
      <c r="J24" s="24" t="s">
        <v>40</v>
      </c>
      <c r="K24" s="24" t="s">
        <v>40</v>
      </c>
      <c r="L24" s="25" t="s">
        <v>40</v>
      </c>
    </row>
    <row r="25" spans="1:12">
      <c r="A25" s="26" t="s">
        <v>40</v>
      </c>
      <c r="B25" s="27" t="s">
        <v>40</v>
      </c>
      <c r="C25" s="27" t="s">
        <v>40</v>
      </c>
      <c r="D25" s="27" t="s">
        <v>40</v>
      </c>
      <c r="E25" s="27" t="s">
        <v>40</v>
      </c>
      <c r="F25" s="27" t="s">
        <v>40</v>
      </c>
      <c r="G25" s="27" t="s">
        <v>40</v>
      </c>
      <c r="H25" s="27" t="s">
        <v>40</v>
      </c>
      <c r="I25" s="27" t="s">
        <v>40</v>
      </c>
      <c r="J25" s="27" t="s">
        <v>40</v>
      </c>
      <c r="K25" s="27" t="s">
        <v>40</v>
      </c>
      <c r="L25" s="28" t="s">
        <v>40</v>
      </c>
    </row>
  </sheetData>
  <mergeCells count="3">
    <mergeCell ref="A1:L1"/>
    <mergeCell ref="A2:L2"/>
    <mergeCell ref="A23:L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5"/>
  <sheetViews>
    <sheetView showGridLines="0" workbookViewId="0"/>
  </sheetViews>
  <sheetFormatPr defaultRowHeight="13.8"/>
  <cols>
    <col min="1" max="1" width="13.09765625" customWidth="1"/>
    <col min="2" max="2" width="26.19921875" customWidth="1"/>
    <col min="3" max="3" width="16.8984375" customWidth="1"/>
    <col min="4" max="4" width="18.09765625" customWidth="1"/>
    <col min="5" max="6" width="13.69921875" customWidth="1"/>
    <col min="7" max="7" width="26.19921875" customWidth="1"/>
    <col min="8" max="8" width="11.19921875" customWidth="1"/>
  </cols>
  <sheetData>
    <row r="1" spans="1:8" ht="27" customHeight="1">
      <c r="A1" s="29" t="s">
        <v>41</v>
      </c>
      <c r="B1" s="29" t="s">
        <v>41</v>
      </c>
      <c r="C1" s="29" t="s">
        <v>41</v>
      </c>
      <c r="D1" s="29" t="s">
        <v>41</v>
      </c>
      <c r="E1" s="29" t="s">
        <v>41</v>
      </c>
      <c r="F1" s="29" t="s">
        <v>41</v>
      </c>
      <c r="G1" s="29" t="s">
        <v>41</v>
      </c>
      <c r="H1" s="29" t="s">
        <v>41</v>
      </c>
    </row>
    <row r="2" spans="1:8">
      <c r="A2" s="30" t="s">
        <v>42</v>
      </c>
      <c r="B2" s="30" t="s">
        <v>42</v>
      </c>
      <c r="C2" s="30" t="s">
        <v>42</v>
      </c>
      <c r="D2" s="30" t="s">
        <v>42</v>
      </c>
      <c r="E2" s="30" t="s">
        <v>42</v>
      </c>
      <c r="F2" s="30" t="s">
        <v>42</v>
      </c>
      <c r="G2" s="30" t="s">
        <v>42</v>
      </c>
      <c r="H2" s="30" t="s">
        <v>42</v>
      </c>
    </row>
    <row r="4" spans="1:8" ht="14.4">
      <c r="A4" s="31" t="s">
        <v>43</v>
      </c>
      <c r="B4" s="32" t="s">
        <v>43</v>
      </c>
      <c r="C4" s="32" t="s">
        <v>43</v>
      </c>
      <c r="D4" s="32" t="s">
        <v>43</v>
      </c>
      <c r="E4" s="32" t="s">
        <v>43</v>
      </c>
      <c r="F4" s="32" t="s">
        <v>43</v>
      </c>
      <c r="G4" s="32" t="s">
        <v>43</v>
      </c>
      <c r="H4" s="33" t="s">
        <v>43</v>
      </c>
    </row>
    <row r="5" spans="1:8" ht="21" customHeight="1">
      <c r="A5" s="1" t="s">
        <v>44</v>
      </c>
      <c r="B5" s="1" t="s">
        <v>45</v>
      </c>
      <c r="C5" s="1" t="s">
        <v>17</v>
      </c>
      <c r="D5" s="1" t="s">
        <v>46</v>
      </c>
      <c r="E5" s="1" t="s">
        <v>3</v>
      </c>
      <c r="F5" s="1" t="s">
        <v>47</v>
      </c>
      <c r="G5" s="1" t="s">
        <v>48</v>
      </c>
      <c r="H5" s="1" t="s">
        <v>13</v>
      </c>
    </row>
    <row r="6" spans="1:8" ht="16.5" customHeight="1">
      <c r="A6" s="4">
        <v>46174</v>
      </c>
      <c r="B6" s="2" t="s">
        <v>49</v>
      </c>
      <c r="C6" s="2" t="s">
        <v>19</v>
      </c>
      <c r="D6" s="2" t="s">
        <v>50</v>
      </c>
      <c r="E6" s="5">
        <v>18.5</v>
      </c>
      <c r="F6" s="2" t="s">
        <v>51</v>
      </c>
      <c r="G6" s="2" t="s">
        <v>52</v>
      </c>
      <c r="H6" s="6" t="str">
        <f t="shared" ref="H6:H37" si="0">IF(A6="","",TEXT(A6,"yyyy-mm"))</f>
        <v>yyyy-06</v>
      </c>
    </row>
    <row r="7" spans="1:8" ht="16.5" customHeight="1">
      <c r="A7" s="4">
        <v>46175</v>
      </c>
      <c r="B7" s="2" t="s">
        <v>53</v>
      </c>
      <c r="C7" s="2" t="s">
        <v>21</v>
      </c>
      <c r="D7" s="2" t="s">
        <v>54</v>
      </c>
      <c r="E7" s="5">
        <v>5.2</v>
      </c>
      <c r="F7" s="2" t="s">
        <v>51</v>
      </c>
      <c r="G7" s="2" t="s">
        <v>52</v>
      </c>
      <c r="H7" s="6" t="str">
        <f t="shared" si="0"/>
        <v>yyyy-06</v>
      </c>
    </row>
    <row r="8" spans="1:8" ht="16.5" customHeight="1">
      <c r="A8" s="4">
        <v>46176</v>
      </c>
      <c r="B8" s="2" t="s">
        <v>27</v>
      </c>
      <c r="C8" s="2" t="s">
        <v>27</v>
      </c>
      <c r="D8" s="2" t="s">
        <v>55</v>
      </c>
      <c r="E8" s="5">
        <v>86.4</v>
      </c>
      <c r="F8" s="2" t="s">
        <v>51</v>
      </c>
      <c r="G8" s="2" t="s">
        <v>52</v>
      </c>
      <c r="H8" s="6" t="str">
        <f t="shared" si="0"/>
        <v>yyyy-06</v>
      </c>
    </row>
    <row r="9" spans="1:8" ht="16.5" customHeight="1">
      <c r="A9" s="4">
        <v>46177</v>
      </c>
      <c r="B9" s="2" t="s">
        <v>56</v>
      </c>
      <c r="C9" s="2" t="s">
        <v>25</v>
      </c>
      <c r="D9" s="2" t="s">
        <v>50</v>
      </c>
      <c r="E9" s="5">
        <v>42.9</v>
      </c>
      <c r="F9" s="2" t="s">
        <v>51</v>
      </c>
      <c r="G9" s="2" t="s">
        <v>52</v>
      </c>
      <c r="H9" s="6" t="str">
        <f t="shared" si="0"/>
        <v>yyyy-06</v>
      </c>
    </row>
    <row r="10" spans="1:8" ht="16.5" customHeight="1">
      <c r="A10" s="4"/>
      <c r="B10" s="2"/>
      <c r="C10" s="2"/>
      <c r="D10" s="2"/>
      <c r="E10" s="5"/>
      <c r="F10" s="2"/>
      <c r="G10" s="2"/>
      <c r="H10" s="6" t="str">
        <f t="shared" si="0"/>
        <v/>
      </c>
    </row>
    <row r="11" spans="1:8" ht="16.5" customHeight="1">
      <c r="A11" s="4"/>
      <c r="B11" s="2"/>
      <c r="C11" s="2"/>
      <c r="D11" s="2"/>
      <c r="E11" s="5"/>
      <c r="F11" s="2"/>
      <c r="G11" s="2"/>
      <c r="H11" s="6" t="str">
        <f t="shared" si="0"/>
        <v/>
      </c>
    </row>
    <row r="12" spans="1:8" ht="16.5" customHeight="1">
      <c r="A12" s="4"/>
      <c r="B12" s="2"/>
      <c r="C12" s="2"/>
      <c r="D12" s="2"/>
      <c r="E12" s="5"/>
      <c r="F12" s="2"/>
      <c r="G12" s="2"/>
      <c r="H12" s="6" t="str">
        <f t="shared" si="0"/>
        <v/>
      </c>
    </row>
    <row r="13" spans="1:8" ht="16.5" customHeight="1">
      <c r="A13" s="4"/>
      <c r="B13" s="2"/>
      <c r="C13" s="2"/>
      <c r="D13" s="2"/>
      <c r="E13" s="5"/>
      <c r="F13" s="2"/>
      <c r="G13" s="2"/>
      <c r="H13" s="6" t="str">
        <f t="shared" si="0"/>
        <v/>
      </c>
    </row>
    <row r="14" spans="1:8" ht="16.5" customHeight="1">
      <c r="A14" s="4"/>
      <c r="B14" s="2"/>
      <c r="C14" s="2"/>
      <c r="D14" s="2"/>
      <c r="E14" s="5"/>
      <c r="F14" s="2"/>
      <c r="G14" s="2"/>
      <c r="H14" s="6" t="str">
        <f t="shared" si="0"/>
        <v/>
      </c>
    </row>
    <row r="15" spans="1:8" ht="16.5" customHeight="1">
      <c r="A15" s="4"/>
      <c r="B15" s="2"/>
      <c r="C15" s="2"/>
      <c r="D15" s="2"/>
      <c r="E15" s="5"/>
      <c r="F15" s="2"/>
      <c r="G15" s="2"/>
      <c r="H15" s="6" t="str">
        <f t="shared" si="0"/>
        <v/>
      </c>
    </row>
    <row r="16" spans="1:8" ht="16.5" customHeight="1">
      <c r="A16" s="4"/>
      <c r="B16" s="2"/>
      <c r="C16" s="2"/>
      <c r="D16" s="2"/>
      <c r="E16" s="5"/>
      <c r="F16" s="2"/>
      <c r="G16" s="2"/>
      <c r="H16" s="6" t="str">
        <f t="shared" si="0"/>
        <v/>
      </c>
    </row>
    <row r="17" spans="1:8" ht="16.5" customHeight="1">
      <c r="A17" s="4"/>
      <c r="B17" s="2"/>
      <c r="C17" s="2"/>
      <c r="D17" s="2"/>
      <c r="E17" s="5"/>
      <c r="F17" s="2"/>
      <c r="G17" s="2"/>
      <c r="H17" s="6" t="str">
        <f t="shared" si="0"/>
        <v/>
      </c>
    </row>
    <row r="18" spans="1:8" ht="16.5" customHeight="1">
      <c r="A18" s="4"/>
      <c r="B18" s="2"/>
      <c r="C18" s="2"/>
      <c r="D18" s="2"/>
      <c r="E18" s="5"/>
      <c r="F18" s="2"/>
      <c r="G18" s="2"/>
      <c r="H18" s="6" t="str">
        <f t="shared" si="0"/>
        <v/>
      </c>
    </row>
    <row r="19" spans="1:8" ht="16.5" customHeight="1">
      <c r="A19" s="4"/>
      <c r="B19" s="2"/>
      <c r="C19" s="2"/>
      <c r="D19" s="2"/>
      <c r="E19" s="5"/>
      <c r="F19" s="2"/>
      <c r="G19" s="2"/>
      <c r="H19" s="6" t="str">
        <f t="shared" si="0"/>
        <v/>
      </c>
    </row>
    <row r="20" spans="1:8" ht="16.5" customHeight="1">
      <c r="A20" s="4"/>
      <c r="B20" s="2"/>
      <c r="C20" s="2"/>
      <c r="D20" s="2"/>
      <c r="E20" s="5"/>
      <c r="F20" s="2"/>
      <c r="G20" s="2"/>
      <c r="H20" s="6" t="str">
        <f t="shared" si="0"/>
        <v/>
      </c>
    </row>
    <row r="21" spans="1:8" ht="16.5" customHeight="1">
      <c r="A21" s="4"/>
      <c r="B21" s="2"/>
      <c r="C21" s="2"/>
      <c r="D21" s="2"/>
      <c r="E21" s="5"/>
      <c r="F21" s="2"/>
      <c r="G21" s="2"/>
      <c r="H21" s="6" t="str">
        <f t="shared" si="0"/>
        <v/>
      </c>
    </row>
    <row r="22" spans="1:8" ht="16.5" customHeight="1">
      <c r="A22" s="4"/>
      <c r="B22" s="2"/>
      <c r="C22" s="2"/>
      <c r="D22" s="2"/>
      <c r="E22" s="5"/>
      <c r="F22" s="2"/>
      <c r="G22" s="2"/>
      <c r="H22" s="6" t="str">
        <f t="shared" si="0"/>
        <v/>
      </c>
    </row>
    <row r="23" spans="1:8" ht="16.5" customHeight="1">
      <c r="A23" s="4"/>
      <c r="B23" s="2"/>
      <c r="C23" s="2"/>
      <c r="D23" s="2"/>
      <c r="E23" s="5"/>
      <c r="F23" s="2"/>
      <c r="G23" s="2"/>
      <c r="H23" s="6" t="str">
        <f t="shared" si="0"/>
        <v/>
      </c>
    </row>
    <row r="24" spans="1:8" ht="16.5" customHeight="1">
      <c r="A24" s="4"/>
      <c r="B24" s="2"/>
      <c r="C24" s="2"/>
      <c r="D24" s="2"/>
      <c r="E24" s="5"/>
      <c r="F24" s="2"/>
      <c r="G24" s="2"/>
      <c r="H24" s="6" t="str">
        <f t="shared" si="0"/>
        <v/>
      </c>
    </row>
    <row r="25" spans="1:8" ht="16.5" customHeight="1">
      <c r="A25" s="4"/>
      <c r="B25" s="2"/>
      <c r="C25" s="2"/>
      <c r="D25" s="2"/>
      <c r="E25" s="5"/>
      <c r="F25" s="2"/>
      <c r="G25" s="2"/>
      <c r="H25" s="6" t="str">
        <f t="shared" si="0"/>
        <v/>
      </c>
    </row>
    <row r="26" spans="1:8" ht="16.5" customHeight="1">
      <c r="A26" s="4"/>
      <c r="B26" s="2"/>
      <c r="C26" s="2"/>
      <c r="D26" s="2"/>
      <c r="E26" s="5"/>
      <c r="F26" s="2"/>
      <c r="G26" s="2"/>
      <c r="H26" s="6" t="str">
        <f t="shared" si="0"/>
        <v/>
      </c>
    </row>
    <row r="27" spans="1:8" ht="16.5" customHeight="1">
      <c r="A27" s="4"/>
      <c r="B27" s="2"/>
      <c r="C27" s="2"/>
      <c r="D27" s="2"/>
      <c r="E27" s="5"/>
      <c r="F27" s="2"/>
      <c r="G27" s="2"/>
      <c r="H27" s="6" t="str">
        <f t="shared" si="0"/>
        <v/>
      </c>
    </row>
    <row r="28" spans="1:8" ht="16.5" customHeight="1">
      <c r="A28" s="4"/>
      <c r="B28" s="2"/>
      <c r="C28" s="2"/>
      <c r="D28" s="2"/>
      <c r="E28" s="5"/>
      <c r="F28" s="2"/>
      <c r="G28" s="2"/>
      <c r="H28" s="6" t="str">
        <f t="shared" si="0"/>
        <v/>
      </c>
    </row>
    <row r="29" spans="1:8" ht="16.5" customHeight="1">
      <c r="A29" s="4"/>
      <c r="B29" s="2"/>
      <c r="C29" s="2"/>
      <c r="D29" s="2"/>
      <c r="E29" s="5"/>
      <c r="F29" s="2"/>
      <c r="G29" s="2"/>
      <c r="H29" s="6" t="str">
        <f t="shared" si="0"/>
        <v/>
      </c>
    </row>
    <row r="30" spans="1:8" ht="16.5" customHeight="1">
      <c r="A30" s="4"/>
      <c r="B30" s="2"/>
      <c r="C30" s="2"/>
      <c r="D30" s="2"/>
      <c r="E30" s="5"/>
      <c r="F30" s="2"/>
      <c r="G30" s="2"/>
      <c r="H30" s="6" t="str">
        <f t="shared" si="0"/>
        <v/>
      </c>
    </row>
    <row r="31" spans="1:8" ht="16.5" customHeight="1">
      <c r="A31" s="4"/>
      <c r="B31" s="2"/>
      <c r="C31" s="2"/>
      <c r="D31" s="2"/>
      <c r="E31" s="5"/>
      <c r="F31" s="2"/>
      <c r="G31" s="2"/>
      <c r="H31" s="6" t="str">
        <f t="shared" si="0"/>
        <v/>
      </c>
    </row>
    <row r="32" spans="1:8" ht="16.5" customHeight="1">
      <c r="A32" s="4"/>
      <c r="B32" s="2"/>
      <c r="C32" s="2"/>
      <c r="D32" s="2"/>
      <c r="E32" s="5"/>
      <c r="F32" s="2"/>
      <c r="G32" s="2"/>
      <c r="H32" s="6" t="str">
        <f t="shared" si="0"/>
        <v/>
      </c>
    </row>
    <row r="33" spans="1:8" ht="16.5" customHeight="1">
      <c r="A33" s="4"/>
      <c r="B33" s="2"/>
      <c r="C33" s="2"/>
      <c r="D33" s="2"/>
      <c r="E33" s="5"/>
      <c r="F33" s="2"/>
      <c r="G33" s="2"/>
      <c r="H33" s="6" t="str">
        <f t="shared" si="0"/>
        <v/>
      </c>
    </row>
    <row r="34" spans="1:8" ht="16.5" customHeight="1">
      <c r="A34" s="4"/>
      <c r="B34" s="2"/>
      <c r="C34" s="2"/>
      <c r="D34" s="2"/>
      <c r="E34" s="5"/>
      <c r="F34" s="2"/>
      <c r="G34" s="2"/>
      <c r="H34" s="6" t="str">
        <f t="shared" si="0"/>
        <v/>
      </c>
    </row>
    <row r="35" spans="1:8" ht="16.5" customHeight="1">
      <c r="A35" s="4"/>
      <c r="B35" s="2"/>
      <c r="C35" s="2"/>
      <c r="D35" s="2"/>
      <c r="E35" s="5"/>
      <c r="F35" s="2"/>
      <c r="G35" s="2"/>
      <c r="H35" s="6" t="str">
        <f t="shared" si="0"/>
        <v/>
      </c>
    </row>
    <row r="36" spans="1:8" ht="16.5" customHeight="1">
      <c r="A36" s="4"/>
      <c r="B36" s="2"/>
      <c r="C36" s="2"/>
      <c r="D36" s="2"/>
      <c r="E36" s="5"/>
      <c r="F36" s="2"/>
      <c r="G36" s="2"/>
      <c r="H36" s="6" t="str">
        <f t="shared" si="0"/>
        <v/>
      </c>
    </row>
    <row r="37" spans="1:8" ht="16.5" customHeight="1">
      <c r="A37" s="4"/>
      <c r="B37" s="2"/>
      <c r="C37" s="2"/>
      <c r="D37" s="2"/>
      <c r="E37" s="5"/>
      <c r="F37" s="2"/>
      <c r="G37" s="2"/>
      <c r="H37" s="6" t="str">
        <f t="shared" si="0"/>
        <v/>
      </c>
    </row>
    <row r="38" spans="1:8" ht="16.5" customHeight="1">
      <c r="A38" s="4"/>
      <c r="B38" s="2"/>
      <c r="C38" s="2"/>
      <c r="D38" s="2"/>
      <c r="E38" s="5"/>
      <c r="F38" s="2"/>
      <c r="G38" s="2"/>
      <c r="H38" s="6" t="str">
        <f t="shared" ref="H38:H69" si="1">IF(A38="","",TEXT(A38,"yyyy-mm"))</f>
        <v/>
      </c>
    </row>
    <row r="39" spans="1:8" ht="16.5" customHeight="1">
      <c r="A39" s="4"/>
      <c r="B39" s="2"/>
      <c r="C39" s="2"/>
      <c r="D39" s="2"/>
      <c r="E39" s="5"/>
      <c r="F39" s="2"/>
      <c r="G39" s="2"/>
      <c r="H39" s="6" t="str">
        <f t="shared" si="1"/>
        <v/>
      </c>
    </row>
    <row r="40" spans="1:8" ht="16.5" customHeight="1">
      <c r="A40" s="4"/>
      <c r="B40" s="2"/>
      <c r="C40" s="2"/>
      <c r="D40" s="2"/>
      <c r="E40" s="5"/>
      <c r="F40" s="2"/>
      <c r="G40" s="2"/>
      <c r="H40" s="6" t="str">
        <f t="shared" si="1"/>
        <v/>
      </c>
    </row>
    <row r="41" spans="1:8" ht="16.5" customHeight="1">
      <c r="A41" s="4"/>
      <c r="B41" s="2"/>
      <c r="C41" s="2"/>
      <c r="D41" s="2"/>
      <c r="E41" s="5"/>
      <c r="F41" s="2"/>
      <c r="G41" s="2"/>
      <c r="H41" s="6" t="str">
        <f t="shared" si="1"/>
        <v/>
      </c>
    </row>
    <row r="42" spans="1:8" ht="16.5" customHeight="1">
      <c r="A42" s="4"/>
      <c r="B42" s="2"/>
      <c r="C42" s="2"/>
      <c r="D42" s="2"/>
      <c r="E42" s="5"/>
      <c r="F42" s="2"/>
      <c r="G42" s="2"/>
      <c r="H42" s="6" t="str">
        <f t="shared" si="1"/>
        <v/>
      </c>
    </row>
    <row r="43" spans="1:8" ht="16.5" customHeight="1">
      <c r="A43" s="4"/>
      <c r="B43" s="2"/>
      <c r="C43" s="2"/>
      <c r="D43" s="2"/>
      <c r="E43" s="5"/>
      <c r="F43" s="2"/>
      <c r="G43" s="2"/>
      <c r="H43" s="6" t="str">
        <f t="shared" si="1"/>
        <v/>
      </c>
    </row>
    <row r="44" spans="1:8" ht="16.5" customHeight="1">
      <c r="A44" s="4"/>
      <c r="B44" s="2"/>
      <c r="C44" s="2"/>
      <c r="D44" s="2"/>
      <c r="E44" s="5"/>
      <c r="F44" s="2"/>
      <c r="G44" s="2"/>
      <c r="H44" s="6" t="str">
        <f t="shared" si="1"/>
        <v/>
      </c>
    </row>
    <row r="45" spans="1:8" ht="16.5" customHeight="1">
      <c r="A45" s="4"/>
      <c r="B45" s="2"/>
      <c r="C45" s="2"/>
      <c r="D45" s="2"/>
      <c r="E45" s="5"/>
      <c r="F45" s="2"/>
      <c r="G45" s="2"/>
      <c r="H45" s="6" t="str">
        <f t="shared" si="1"/>
        <v/>
      </c>
    </row>
    <row r="46" spans="1:8" ht="16.5" customHeight="1">
      <c r="A46" s="4"/>
      <c r="B46" s="2"/>
      <c r="C46" s="2"/>
      <c r="D46" s="2"/>
      <c r="E46" s="5"/>
      <c r="F46" s="2"/>
      <c r="G46" s="2"/>
      <c r="H46" s="6" t="str">
        <f t="shared" si="1"/>
        <v/>
      </c>
    </row>
    <row r="47" spans="1:8" ht="16.5" customHeight="1">
      <c r="A47" s="4"/>
      <c r="B47" s="2"/>
      <c r="C47" s="2"/>
      <c r="D47" s="2"/>
      <c r="E47" s="5"/>
      <c r="F47" s="2"/>
      <c r="G47" s="2"/>
      <c r="H47" s="6" t="str">
        <f t="shared" si="1"/>
        <v/>
      </c>
    </row>
    <row r="48" spans="1:8" ht="16.5" customHeight="1">
      <c r="A48" s="4"/>
      <c r="B48" s="2"/>
      <c r="C48" s="2"/>
      <c r="D48" s="2"/>
      <c r="E48" s="5"/>
      <c r="F48" s="2"/>
      <c r="G48" s="2"/>
      <c r="H48" s="6" t="str">
        <f t="shared" si="1"/>
        <v/>
      </c>
    </row>
    <row r="49" spans="1:8" ht="16.5" customHeight="1">
      <c r="A49" s="4"/>
      <c r="B49" s="2"/>
      <c r="C49" s="2"/>
      <c r="D49" s="2"/>
      <c r="E49" s="5"/>
      <c r="F49" s="2"/>
      <c r="G49" s="2"/>
      <c r="H49" s="6" t="str">
        <f t="shared" si="1"/>
        <v/>
      </c>
    </row>
    <row r="50" spans="1:8" ht="16.5" customHeight="1">
      <c r="A50" s="4"/>
      <c r="B50" s="2"/>
      <c r="C50" s="2"/>
      <c r="D50" s="2"/>
      <c r="E50" s="5"/>
      <c r="F50" s="2"/>
      <c r="G50" s="2"/>
      <c r="H50" s="6" t="str">
        <f t="shared" si="1"/>
        <v/>
      </c>
    </row>
    <row r="51" spans="1:8" ht="16.5" customHeight="1">
      <c r="A51" s="4"/>
      <c r="B51" s="2"/>
      <c r="C51" s="2"/>
      <c r="D51" s="2"/>
      <c r="E51" s="5"/>
      <c r="F51" s="2"/>
      <c r="G51" s="2"/>
      <c r="H51" s="6" t="str">
        <f t="shared" si="1"/>
        <v/>
      </c>
    </row>
    <row r="52" spans="1:8" ht="16.5" customHeight="1">
      <c r="A52" s="4"/>
      <c r="B52" s="2"/>
      <c r="C52" s="2"/>
      <c r="D52" s="2"/>
      <c r="E52" s="5"/>
      <c r="F52" s="2"/>
      <c r="G52" s="2"/>
      <c r="H52" s="6" t="str">
        <f t="shared" si="1"/>
        <v/>
      </c>
    </row>
    <row r="53" spans="1:8" ht="16.5" customHeight="1">
      <c r="A53" s="4"/>
      <c r="B53" s="2"/>
      <c r="C53" s="2"/>
      <c r="D53" s="2"/>
      <c r="E53" s="5"/>
      <c r="F53" s="2"/>
      <c r="G53" s="2"/>
      <c r="H53" s="6" t="str">
        <f t="shared" si="1"/>
        <v/>
      </c>
    </row>
    <row r="54" spans="1:8" ht="16.5" customHeight="1">
      <c r="A54" s="4"/>
      <c r="B54" s="2"/>
      <c r="C54" s="2"/>
      <c r="D54" s="2"/>
      <c r="E54" s="5"/>
      <c r="F54" s="2"/>
      <c r="G54" s="2"/>
      <c r="H54" s="6" t="str">
        <f t="shared" si="1"/>
        <v/>
      </c>
    </row>
    <row r="55" spans="1:8" ht="16.5" customHeight="1">
      <c r="A55" s="4"/>
      <c r="B55" s="2"/>
      <c r="C55" s="2"/>
      <c r="D55" s="2"/>
      <c r="E55" s="5"/>
      <c r="F55" s="2"/>
      <c r="G55" s="2"/>
      <c r="H55" s="6" t="str">
        <f t="shared" si="1"/>
        <v/>
      </c>
    </row>
    <row r="56" spans="1:8" ht="16.5" customHeight="1">
      <c r="A56" s="4"/>
      <c r="B56" s="2"/>
      <c r="C56" s="2"/>
      <c r="D56" s="2"/>
      <c r="E56" s="5"/>
      <c r="F56" s="2"/>
      <c r="G56" s="2"/>
      <c r="H56" s="6" t="str">
        <f t="shared" si="1"/>
        <v/>
      </c>
    </row>
    <row r="57" spans="1:8" ht="16.5" customHeight="1">
      <c r="A57" s="4"/>
      <c r="B57" s="2"/>
      <c r="C57" s="2"/>
      <c r="D57" s="2"/>
      <c r="E57" s="5"/>
      <c r="F57" s="2"/>
      <c r="G57" s="2"/>
      <c r="H57" s="6" t="str">
        <f t="shared" si="1"/>
        <v/>
      </c>
    </row>
    <row r="58" spans="1:8" ht="16.5" customHeight="1">
      <c r="A58" s="4"/>
      <c r="B58" s="2"/>
      <c r="C58" s="2"/>
      <c r="D58" s="2"/>
      <c r="E58" s="5"/>
      <c r="F58" s="2"/>
      <c r="G58" s="2"/>
      <c r="H58" s="6" t="str">
        <f t="shared" si="1"/>
        <v/>
      </c>
    </row>
    <row r="59" spans="1:8" ht="16.5" customHeight="1">
      <c r="A59" s="4"/>
      <c r="B59" s="2"/>
      <c r="C59" s="2"/>
      <c r="D59" s="2"/>
      <c r="E59" s="5"/>
      <c r="F59" s="2"/>
      <c r="G59" s="2"/>
      <c r="H59" s="6" t="str">
        <f t="shared" si="1"/>
        <v/>
      </c>
    </row>
    <row r="60" spans="1:8" ht="16.5" customHeight="1">
      <c r="A60" s="4"/>
      <c r="B60" s="2"/>
      <c r="C60" s="2"/>
      <c r="D60" s="2"/>
      <c r="E60" s="5"/>
      <c r="F60" s="2"/>
      <c r="G60" s="2"/>
      <c r="H60" s="6" t="str">
        <f t="shared" si="1"/>
        <v/>
      </c>
    </row>
    <row r="61" spans="1:8" ht="16.5" customHeight="1">
      <c r="A61" s="4"/>
      <c r="B61" s="2"/>
      <c r="C61" s="2"/>
      <c r="D61" s="2"/>
      <c r="E61" s="5"/>
      <c r="F61" s="2"/>
      <c r="G61" s="2"/>
      <c r="H61" s="6" t="str">
        <f t="shared" si="1"/>
        <v/>
      </c>
    </row>
    <row r="62" spans="1:8" ht="16.5" customHeight="1">
      <c r="A62" s="4"/>
      <c r="B62" s="2"/>
      <c r="C62" s="2"/>
      <c r="D62" s="2"/>
      <c r="E62" s="5"/>
      <c r="F62" s="2"/>
      <c r="G62" s="2"/>
      <c r="H62" s="6" t="str">
        <f t="shared" si="1"/>
        <v/>
      </c>
    </row>
    <row r="63" spans="1:8" ht="16.5" customHeight="1">
      <c r="A63" s="4"/>
      <c r="B63" s="2"/>
      <c r="C63" s="2"/>
      <c r="D63" s="2"/>
      <c r="E63" s="5"/>
      <c r="F63" s="2"/>
      <c r="G63" s="2"/>
      <c r="H63" s="6" t="str">
        <f t="shared" si="1"/>
        <v/>
      </c>
    </row>
    <row r="64" spans="1:8" ht="16.5" customHeight="1">
      <c r="A64" s="4"/>
      <c r="B64" s="2"/>
      <c r="C64" s="2"/>
      <c r="D64" s="2"/>
      <c r="E64" s="5"/>
      <c r="F64" s="2"/>
      <c r="G64" s="2"/>
      <c r="H64" s="6" t="str">
        <f t="shared" si="1"/>
        <v/>
      </c>
    </row>
    <row r="65" spans="1:8" ht="16.5" customHeight="1">
      <c r="A65" s="4"/>
      <c r="B65" s="2"/>
      <c r="C65" s="2"/>
      <c r="D65" s="2"/>
      <c r="E65" s="5"/>
      <c r="F65" s="2"/>
      <c r="G65" s="2"/>
      <c r="H65" s="6" t="str">
        <f t="shared" si="1"/>
        <v/>
      </c>
    </row>
    <row r="66" spans="1:8" ht="16.5" customHeight="1">
      <c r="A66" s="4"/>
      <c r="B66" s="2"/>
      <c r="C66" s="2"/>
      <c r="D66" s="2"/>
      <c r="E66" s="5"/>
      <c r="F66" s="2"/>
      <c r="G66" s="2"/>
      <c r="H66" s="6" t="str">
        <f t="shared" si="1"/>
        <v/>
      </c>
    </row>
    <row r="67" spans="1:8" ht="16.5" customHeight="1">
      <c r="A67" s="4"/>
      <c r="B67" s="2"/>
      <c r="C67" s="2"/>
      <c r="D67" s="2"/>
      <c r="E67" s="5"/>
      <c r="F67" s="2"/>
      <c r="G67" s="2"/>
      <c r="H67" s="6" t="str">
        <f t="shared" si="1"/>
        <v/>
      </c>
    </row>
    <row r="68" spans="1:8" ht="16.5" customHeight="1">
      <c r="A68" s="4"/>
      <c r="B68" s="2"/>
      <c r="C68" s="2"/>
      <c r="D68" s="2"/>
      <c r="E68" s="5"/>
      <c r="F68" s="2"/>
      <c r="G68" s="2"/>
      <c r="H68" s="6" t="str">
        <f t="shared" si="1"/>
        <v/>
      </c>
    </row>
    <row r="69" spans="1:8" ht="16.5" customHeight="1">
      <c r="A69" s="4"/>
      <c r="B69" s="2"/>
      <c r="C69" s="2"/>
      <c r="D69" s="2"/>
      <c r="E69" s="5"/>
      <c r="F69" s="2"/>
      <c r="G69" s="2"/>
      <c r="H69" s="6" t="str">
        <f t="shared" si="1"/>
        <v/>
      </c>
    </row>
    <row r="70" spans="1:8" ht="16.5" customHeight="1">
      <c r="A70" s="4"/>
      <c r="B70" s="2"/>
      <c r="C70" s="2"/>
      <c r="D70" s="2"/>
      <c r="E70" s="5"/>
      <c r="F70" s="2"/>
      <c r="G70" s="2"/>
      <c r="H70" s="6" t="str">
        <f t="shared" ref="H70:H101" si="2">IF(A70="","",TEXT(A70,"yyyy-mm"))</f>
        <v/>
      </c>
    </row>
    <row r="71" spans="1:8" ht="16.5" customHeight="1">
      <c r="A71" s="4"/>
      <c r="B71" s="2"/>
      <c r="C71" s="2"/>
      <c r="D71" s="2"/>
      <c r="E71" s="5"/>
      <c r="F71" s="2"/>
      <c r="G71" s="2"/>
      <c r="H71" s="6" t="str">
        <f t="shared" si="2"/>
        <v/>
      </c>
    </row>
    <row r="72" spans="1:8" ht="16.5" customHeight="1">
      <c r="A72" s="4"/>
      <c r="B72" s="2"/>
      <c r="C72" s="2"/>
      <c r="D72" s="2"/>
      <c r="E72" s="5"/>
      <c r="F72" s="2"/>
      <c r="G72" s="2"/>
      <c r="H72" s="6" t="str">
        <f t="shared" si="2"/>
        <v/>
      </c>
    </row>
    <row r="73" spans="1:8" ht="16.5" customHeight="1">
      <c r="A73" s="4"/>
      <c r="B73" s="2"/>
      <c r="C73" s="2"/>
      <c r="D73" s="2"/>
      <c r="E73" s="5"/>
      <c r="F73" s="2"/>
      <c r="G73" s="2"/>
      <c r="H73" s="6" t="str">
        <f t="shared" si="2"/>
        <v/>
      </c>
    </row>
    <row r="74" spans="1:8" ht="16.5" customHeight="1">
      <c r="A74" s="4"/>
      <c r="B74" s="2"/>
      <c r="C74" s="2"/>
      <c r="D74" s="2"/>
      <c r="E74" s="5"/>
      <c r="F74" s="2"/>
      <c r="G74" s="2"/>
      <c r="H74" s="6" t="str">
        <f t="shared" si="2"/>
        <v/>
      </c>
    </row>
    <row r="75" spans="1:8" ht="16.5" customHeight="1">
      <c r="A75" s="4"/>
      <c r="B75" s="2"/>
      <c r="C75" s="2"/>
      <c r="D75" s="2"/>
      <c r="E75" s="5"/>
      <c r="F75" s="2"/>
      <c r="G75" s="2"/>
      <c r="H75" s="6" t="str">
        <f t="shared" si="2"/>
        <v/>
      </c>
    </row>
    <row r="76" spans="1:8" ht="16.5" customHeight="1">
      <c r="A76" s="4"/>
      <c r="B76" s="2"/>
      <c r="C76" s="2"/>
      <c r="D76" s="2"/>
      <c r="E76" s="5"/>
      <c r="F76" s="2"/>
      <c r="G76" s="2"/>
      <c r="H76" s="6" t="str">
        <f t="shared" si="2"/>
        <v/>
      </c>
    </row>
    <row r="77" spans="1:8" ht="16.5" customHeight="1">
      <c r="A77" s="4"/>
      <c r="B77" s="2"/>
      <c r="C77" s="2"/>
      <c r="D77" s="2"/>
      <c r="E77" s="5"/>
      <c r="F77" s="2"/>
      <c r="G77" s="2"/>
      <c r="H77" s="6" t="str">
        <f t="shared" si="2"/>
        <v/>
      </c>
    </row>
    <row r="78" spans="1:8" ht="16.5" customHeight="1">
      <c r="A78" s="4"/>
      <c r="B78" s="2"/>
      <c r="C78" s="2"/>
      <c r="D78" s="2"/>
      <c r="E78" s="5"/>
      <c r="F78" s="2"/>
      <c r="G78" s="2"/>
      <c r="H78" s="6" t="str">
        <f t="shared" si="2"/>
        <v/>
      </c>
    </row>
    <row r="79" spans="1:8" ht="16.5" customHeight="1">
      <c r="A79" s="4"/>
      <c r="B79" s="2"/>
      <c r="C79" s="2"/>
      <c r="D79" s="2"/>
      <c r="E79" s="5"/>
      <c r="F79" s="2"/>
      <c r="G79" s="2"/>
      <c r="H79" s="6" t="str">
        <f t="shared" si="2"/>
        <v/>
      </c>
    </row>
    <row r="80" spans="1:8" ht="16.5" customHeight="1">
      <c r="A80" s="4"/>
      <c r="B80" s="2"/>
      <c r="C80" s="2"/>
      <c r="D80" s="2"/>
      <c r="E80" s="5"/>
      <c r="F80" s="2"/>
      <c r="G80" s="2"/>
      <c r="H80" s="6" t="str">
        <f t="shared" si="2"/>
        <v/>
      </c>
    </row>
    <row r="81" spans="1:8" ht="16.5" customHeight="1">
      <c r="A81" s="4"/>
      <c r="B81" s="2"/>
      <c r="C81" s="2"/>
      <c r="D81" s="2"/>
      <c r="E81" s="5"/>
      <c r="F81" s="2"/>
      <c r="G81" s="2"/>
      <c r="H81" s="6" t="str">
        <f t="shared" si="2"/>
        <v/>
      </c>
    </row>
    <row r="82" spans="1:8" ht="16.5" customHeight="1">
      <c r="A82" s="4"/>
      <c r="B82" s="2"/>
      <c r="C82" s="2"/>
      <c r="D82" s="2"/>
      <c r="E82" s="5"/>
      <c r="F82" s="2"/>
      <c r="G82" s="2"/>
      <c r="H82" s="6" t="str">
        <f t="shared" si="2"/>
        <v/>
      </c>
    </row>
    <row r="83" spans="1:8" ht="16.5" customHeight="1">
      <c r="A83" s="4"/>
      <c r="B83" s="2"/>
      <c r="C83" s="2"/>
      <c r="D83" s="2"/>
      <c r="E83" s="5"/>
      <c r="F83" s="2"/>
      <c r="G83" s="2"/>
      <c r="H83" s="6" t="str">
        <f t="shared" si="2"/>
        <v/>
      </c>
    </row>
    <row r="84" spans="1:8" ht="16.5" customHeight="1">
      <c r="A84" s="4"/>
      <c r="B84" s="2"/>
      <c r="C84" s="2"/>
      <c r="D84" s="2"/>
      <c r="E84" s="5"/>
      <c r="F84" s="2"/>
      <c r="G84" s="2"/>
      <c r="H84" s="6" t="str">
        <f t="shared" si="2"/>
        <v/>
      </c>
    </row>
    <row r="85" spans="1:8" ht="16.5" customHeight="1">
      <c r="A85" s="4"/>
      <c r="B85" s="2"/>
      <c r="C85" s="2"/>
      <c r="D85" s="2"/>
      <c r="E85" s="5"/>
      <c r="F85" s="2"/>
      <c r="G85" s="2"/>
      <c r="H85" s="6" t="str">
        <f t="shared" si="2"/>
        <v/>
      </c>
    </row>
    <row r="86" spans="1:8" ht="16.5" customHeight="1">
      <c r="A86" s="4"/>
      <c r="B86" s="2"/>
      <c r="C86" s="2"/>
      <c r="D86" s="2"/>
      <c r="E86" s="5"/>
      <c r="F86" s="2"/>
      <c r="G86" s="2"/>
      <c r="H86" s="6" t="str">
        <f t="shared" si="2"/>
        <v/>
      </c>
    </row>
    <row r="87" spans="1:8" ht="16.5" customHeight="1">
      <c r="A87" s="4"/>
      <c r="B87" s="2"/>
      <c r="C87" s="2"/>
      <c r="D87" s="2"/>
      <c r="E87" s="5"/>
      <c r="F87" s="2"/>
      <c r="G87" s="2"/>
      <c r="H87" s="6" t="str">
        <f t="shared" si="2"/>
        <v/>
      </c>
    </row>
    <row r="88" spans="1:8" ht="16.5" customHeight="1">
      <c r="A88" s="4"/>
      <c r="B88" s="2"/>
      <c r="C88" s="2"/>
      <c r="D88" s="2"/>
      <c r="E88" s="5"/>
      <c r="F88" s="2"/>
      <c r="G88" s="2"/>
      <c r="H88" s="6" t="str">
        <f t="shared" si="2"/>
        <v/>
      </c>
    </row>
    <row r="89" spans="1:8" ht="16.5" customHeight="1">
      <c r="A89" s="4"/>
      <c r="B89" s="2"/>
      <c r="C89" s="2"/>
      <c r="D89" s="2"/>
      <c r="E89" s="5"/>
      <c r="F89" s="2"/>
      <c r="G89" s="2"/>
      <c r="H89" s="6" t="str">
        <f t="shared" si="2"/>
        <v/>
      </c>
    </row>
    <row r="90" spans="1:8" ht="16.5" customHeight="1">
      <c r="A90" s="4"/>
      <c r="B90" s="2"/>
      <c r="C90" s="2"/>
      <c r="D90" s="2"/>
      <c r="E90" s="5"/>
      <c r="F90" s="2"/>
      <c r="G90" s="2"/>
      <c r="H90" s="6" t="str">
        <f t="shared" si="2"/>
        <v/>
      </c>
    </row>
    <row r="91" spans="1:8" ht="16.5" customHeight="1">
      <c r="A91" s="4"/>
      <c r="B91" s="2"/>
      <c r="C91" s="2"/>
      <c r="D91" s="2"/>
      <c r="E91" s="5"/>
      <c r="F91" s="2"/>
      <c r="G91" s="2"/>
      <c r="H91" s="6" t="str">
        <f t="shared" si="2"/>
        <v/>
      </c>
    </row>
    <row r="92" spans="1:8" ht="16.5" customHeight="1">
      <c r="A92" s="4"/>
      <c r="B92" s="2"/>
      <c r="C92" s="2"/>
      <c r="D92" s="2"/>
      <c r="E92" s="5"/>
      <c r="F92" s="2"/>
      <c r="G92" s="2"/>
      <c r="H92" s="6" t="str">
        <f t="shared" si="2"/>
        <v/>
      </c>
    </row>
    <row r="93" spans="1:8" ht="16.5" customHeight="1">
      <c r="A93" s="4"/>
      <c r="B93" s="2"/>
      <c r="C93" s="2"/>
      <c r="D93" s="2"/>
      <c r="E93" s="5"/>
      <c r="F93" s="2"/>
      <c r="G93" s="2"/>
      <c r="H93" s="6" t="str">
        <f t="shared" si="2"/>
        <v/>
      </c>
    </row>
    <row r="94" spans="1:8" ht="16.5" customHeight="1">
      <c r="A94" s="4"/>
      <c r="B94" s="2"/>
      <c r="C94" s="2"/>
      <c r="D94" s="2"/>
      <c r="E94" s="5"/>
      <c r="F94" s="2"/>
      <c r="G94" s="2"/>
      <c r="H94" s="6" t="str">
        <f t="shared" si="2"/>
        <v/>
      </c>
    </row>
    <row r="95" spans="1:8" ht="16.5" customHeight="1">
      <c r="A95" s="4"/>
      <c r="B95" s="2"/>
      <c r="C95" s="2"/>
      <c r="D95" s="2"/>
      <c r="E95" s="5"/>
      <c r="F95" s="2"/>
      <c r="G95" s="2"/>
      <c r="H95" s="6" t="str">
        <f t="shared" si="2"/>
        <v/>
      </c>
    </row>
    <row r="96" spans="1:8" ht="16.5" customHeight="1">
      <c r="A96" s="4"/>
      <c r="B96" s="2"/>
      <c r="C96" s="2"/>
      <c r="D96" s="2"/>
      <c r="E96" s="5"/>
      <c r="F96" s="2"/>
      <c r="G96" s="2"/>
      <c r="H96" s="6" t="str">
        <f t="shared" si="2"/>
        <v/>
      </c>
    </row>
    <row r="97" spans="1:8" ht="16.5" customHeight="1">
      <c r="A97" s="4"/>
      <c r="B97" s="2"/>
      <c r="C97" s="2"/>
      <c r="D97" s="2"/>
      <c r="E97" s="5"/>
      <c r="F97" s="2"/>
      <c r="G97" s="2"/>
      <c r="H97" s="6" t="str">
        <f t="shared" si="2"/>
        <v/>
      </c>
    </row>
    <row r="98" spans="1:8" ht="16.5" customHeight="1">
      <c r="A98" s="4"/>
      <c r="B98" s="2"/>
      <c r="C98" s="2"/>
      <c r="D98" s="2"/>
      <c r="E98" s="5"/>
      <c r="F98" s="2"/>
      <c r="G98" s="2"/>
      <c r="H98" s="6" t="str">
        <f t="shared" si="2"/>
        <v/>
      </c>
    </row>
    <row r="99" spans="1:8" ht="16.5" customHeight="1">
      <c r="A99" s="4"/>
      <c r="B99" s="2"/>
      <c r="C99" s="2"/>
      <c r="D99" s="2"/>
      <c r="E99" s="5"/>
      <c r="F99" s="2"/>
      <c r="G99" s="2"/>
      <c r="H99" s="6" t="str">
        <f t="shared" si="2"/>
        <v/>
      </c>
    </row>
    <row r="100" spans="1:8" ht="16.5" customHeight="1">
      <c r="A100" s="4"/>
      <c r="B100" s="2"/>
      <c r="C100" s="2"/>
      <c r="D100" s="2"/>
      <c r="E100" s="5"/>
      <c r="F100" s="2"/>
      <c r="G100" s="2"/>
      <c r="H100" s="6" t="str">
        <f t="shared" si="2"/>
        <v/>
      </c>
    </row>
    <row r="101" spans="1:8" ht="16.5" customHeight="1">
      <c r="A101" s="4"/>
      <c r="B101" s="2"/>
      <c r="C101" s="2"/>
      <c r="D101" s="2"/>
      <c r="E101" s="5"/>
      <c r="F101" s="2"/>
      <c r="G101" s="2"/>
      <c r="H101" s="6" t="str">
        <f t="shared" si="2"/>
        <v/>
      </c>
    </row>
    <row r="102" spans="1:8" ht="16.5" customHeight="1">
      <c r="A102" s="4"/>
      <c r="B102" s="2"/>
      <c r="C102" s="2"/>
      <c r="D102" s="2"/>
      <c r="E102" s="5"/>
      <c r="F102" s="2"/>
      <c r="G102" s="2"/>
      <c r="H102" s="6" t="str">
        <f t="shared" ref="H102:H133" si="3">IF(A102="","",TEXT(A102,"yyyy-mm"))</f>
        <v/>
      </c>
    </row>
    <row r="103" spans="1:8" ht="16.5" customHeight="1">
      <c r="A103" s="4"/>
      <c r="B103" s="2"/>
      <c r="C103" s="2"/>
      <c r="D103" s="2"/>
      <c r="E103" s="5"/>
      <c r="F103" s="2"/>
      <c r="G103" s="2"/>
      <c r="H103" s="6" t="str">
        <f t="shared" si="3"/>
        <v/>
      </c>
    </row>
    <row r="104" spans="1:8" ht="16.5" customHeight="1">
      <c r="A104" s="4"/>
      <c r="B104" s="2"/>
      <c r="C104" s="2"/>
      <c r="D104" s="2"/>
      <c r="E104" s="5"/>
      <c r="F104" s="2"/>
      <c r="G104" s="2"/>
      <c r="H104" s="6" t="str">
        <f t="shared" si="3"/>
        <v/>
      </c>
    </row>
    <row r="105" spans="1:8" ht="16.5" customHeight="1">
      <c r="A105" s="4"/>
      <c r="B105" s="2"/>
      <c r="C105" s="2"/>
      <c r="D105" s="2"/>
      <c r="E105" s="5"/>
      <c r="F105" s="2"/>
      <c r="G105" s="2"/>
      <c r="H105" s="6" t="str">
        <f t="shared" si="3"/>
        <v/>
      </c>
    </row>
    <row r="106" spans="1:8" ht="16.5" customHeight="1">
      <c r="A106" s="4"/>
      <c r="B106" s="2"/>
      <c r="C106" s="2"/>
      <c r="D106" s="2"/>
      <c r="E106" s="5"/>
      <c r="F106" s="2"/>
      <c r="G106" s="2"/>
      <c r="H106" s="6" t="str">
        <f t="shared" si="3"/>
        <v/>
      </c>
    </row>
    <row r="107" spans="1:8" ht="16.5" customHeight="1">
      <c r="A107" s="4"/>
      <c r="B107" s="2"/>
      <c r="C107" s="2"/>
      <c r="D107" s="2"/>
      <c r="E107" s="5"/>
      <c r="F107" s="2"/>
      <c r="G107" s="2"/>
      <c r="H107" s="6" t="str">
        <f t="shared" si="3"/>
        <v/>
      </c>
    </row>
    <row r="108" spans="1:8" ht="16.5" customHeight="1">
      <c r="A108" s="4"/>
      <c r="B108" s="2"/>
      <c r="C108" s="2"/>
      <c r="D108" s="2"/>
      <c r="E108" s="5"/>
      <c r="F108" s="2"/>
      <c r="G108" s="2"/>
      <c r="H108" s="6" t="str">
        <f t="shared" si="3"/>
        <v/>
      </c>
    </row>
    <row r="109" spans="1:8" ht="16.5" customHeight="1">
      <c r="A109" s="4"/>
      <c r="B109" s="2"/>
      <c r="C109" s="2"/>
      <c r="D109" s="2"/>
      <c r="E109" s="5"/>
      <c r="F109" s="2"/>
      <c r="G109" s="2"/>
      <c r="H109" s="6" t="str">
        <f t="shared" si="3"/>
        <v/>
      </c>
    </row>
    <row r="110" spans="1:8" ht="16.5" customHeight="1">
      <c r="A110" s="4"/>
      <c r="B110" s="2"/>
      <c r="C110" s="2"/>
      <c r="D110" s="2"/>
      <c r="E110" s="5"/>
      <c r="F110" s="2"/>
      <c r="G110" s="2"/>
      <c r="H110" s="6" t="str">
        <f t="shared" si="3"/>
        <v/>
      </c>
    </row>
    <row r="111" spans="1:8" ht="16.5" customHeight="1">
      <c r="A111" s="4"/>
      <c r="B111" s="2"/>
      <c r="C111" s="2"/>
      <c r="D111" s="2"/>
      <c r="E111" s="5"/>
      <c r="F111" s="2"/>
      <c r="G111" s="2"/>
      <c r="H111" s="6" t="str">
        <f t="shared" si="3"/>
        <v/>
      </c>
    </row>
    <row r="112" spans="1:8" ht="16.5" customHeight="1">
      <c r="A112" s="4"/>
      <c r="B112" s="2"/>
      <c r="C112" s="2"/>
      <c r="D112" s="2"/>
      <c r="E112" s="5"/>
      <c r="F112" s="2"/>
      <c r="G112" s="2"/>
      <c r="H112" s="6" t="str">
        <f t="shared" si="3"/>
        <v/>
      </c>
    </row>
    <row r="113" spans="1:8" ht="16.5" customHeight="1">
      <c r="A113" s="4"/>
      <c r="B113" s="2"/>
      <c r="C113" s="2"/>
      <c r="D113" s="2"/>
      <c r="E113" s="5"/>
      <c r="F113" s="2"/>
      <c r="G113" s="2"/>
      <c r="H113" s="6" t="str">
        <f t="shared" si="3"/>
        <v/>
      </c>
    </row>
    <row r="114" spans="1:8" ht="16.5" customHeight="1">
      <c r="A114" s="4"/>
      <c r="B114" s="2"/>
      <c r="C114" s="2"/>
      <c r="D114" s="2"/>
      <c r="E114" s="5"/>
      <c r="F114" s="2"/>
      <c r="G114" s="2"/>
      <c r="H114" s="6" t="str">
        <f t="shared" si="3"/>
        <v/>
      </c>
    </row>
    <row r="115" spans="1:8" ht="16.5" customHeight="1">
      <c r="A115" s="4"/>
      <c r="B115" s="2"/>
      <c r="C115" s="2"/>
      <c r="D115" s="2"/>
      <c r="E115" s="5"/>
      <c r="F115" s="2"/>
      <c r="G115" s="2"/>
      <c r="H115" s="6" t="str">
        <f t="shared" si="3"/>
        <v/>
      </c>
    </row>
    <row r="116" spans="1:8" ht="16.5" customHeight="1">
      <c r="A116" s="4"/>
      <c r="B116" s="2"/>
      <c r="C116" s="2"/>
      <c r="D116" s="2"/>
      <c r="E116" s="5"/>
      <c r="F116" s="2"/>
      <c r="G116" s="2"/>
      <c r="H116" s="6" t="str">
        <f t="shared" si="3"/>
        <v/>
      </c>
    </row>
    <row r="117" spans="1:8" ht="16.5" customHeight="1">
      <c r="A117" s="4"/>
      <c r="B117" s="2"/>
      <c r="C117" s="2"/>
      <c r="D117" s="2"/>
      <c r="E117" s="5"/>
      <c r="F117" s="2"/>
      <c r="G117" s="2"/>
      <c r="H117" s="6" t="str">
        <f t="shared" si="3"/>
        <v/>
      </c>
    </row>
    <row r="118" spans="1:8" ht="16.5" customHeight="1">
      <c r="A118" s="4"/>
      <c r="B118" s="2"/>
      <c r="C118" s="2"/>
      <c r="D118" s="2"/>
      <c r="E118" s="5"/>
      <c r="F118" s="2"/>
      <c r="G118" s="2"/>
      <c r="H118" s="6" t="str">
        <f t="shared" si="3"/>
        <v/>
      </c>
    </row>
    <row r="119" spans="1:8" ht="16.5" customHeight="1">
      <c r="A119" s="4"/>
      <c r="B119" s="2"/>
      <c r="C119" s="2"/>
      <c r="D119" s="2"/>
      <c r="E119" s="5"/>
      <c r="F119" s="2"/>
      <c r="G119" s="2"/>
      <c r="H119" s="6" t="str">
        <f t="shared" si="3"/>
        <v/>
      </c>
    </row>
    <row r="120" spans="1:8" ht="16.5" customHeight="1">
      <c r="A120" s="4"/>
      <c r="B120" s="2"/>
      <c r="C120" s="2"/>
      <c r="D120" s="2"/>
      <c r="E120" s="5"/>
      <c r="F120" s="2"/>
      <c r="G120" s="2"/>
      <c r="H120" s="6" t="str">
        <f t="shared" si="3"/>
        <v/>
      </c>
    </row>
    <row r="121" spans="1:8" ht="16.5" customHeight="1">
      <c r="A121" s="4"/>
      <c r="B121" s="2"/>
      <c r="C121" s="2"/>
      <c r="D121" s="2"/>
      <c r="E121" s="5"/>
      <c r="F121" s="2"/>
      <c r="G121" s="2"/>
      <c r="H121" s="6" t="str">
        <f t="shared" si="3"/>
        <v/>
      </c>
    </row>
    <row r="122" spans="1:8" ht="16.5" customHeight="1">
      <c r="A122" s="4"/>
      <c r="B122" s="2"/>
      <c r="C122" s="2"/>
      <c r="D122" s="2"/>
      <c r="E122" s="5"/>
      <c r="F122" s="2"/>
      <c r="G122" s="2"/>
      <c r="H122" s="6" t="str">
        <f t="shared" si="3"/>
        <v/>
      </c>
    </row>
    <row r="123" spans="1:8" ht="16.5" customHeight="1">
      <c r="A123" s="4"/>
      <c r="B123" s="2"/>
      <c r="C123" s="2"/>
      <c r="D123" s="2"/>
      <c r="E123" s="5"/>
      <c r="F123" s="2"/>
      <c r="G123" s="2"/>
      <c r="H123" s="6" t="str">
        <f t="shared" si="3"/>
        <v/>
      </c>
    </row>
    <row r="124" spans="1:8" ht="16.5" customHeight="1">
      <c r="A124" s="4"/>
      <c r="B124" s="2"/>
      <c r="C124" s="2"/>
      <c r="D124" s="2"/>
      <c r="E124" s="5"/>
      <c r="F124" s="2"/>
      <c r="G124" s="2"/>
      <c r="H124" s="6" t="str">
        <f t="shared" si="3"/>
        <v/>
      </c>
    </row>
    <row r="125" spans="1:8" ht="16.5" customHeight="1">
      <c r="A125" s="4"/>
      <c r="B125" s="2"/>
      <c r="C125" s="2"/>
      <c r="D125" s="2"/>
      <c r="E125" s="5"/>
      <c r="F125" s="2"/>
      <c r="G125" s="2"/>
      <c r="H125" s="6" t="str">
        <f t="shared" si="3"/>
        <v/>
      </c>
    </row>
    <row r="126" spans="1:8" ht="16.5" customHeight="1">
      <c r="A126" s="4"/>
      <c r="B126" s="2"/>
      <c r="C126" s="2"/>
      <c r="D126" s="2"/>
      <c r="E126" s="5"/>
      <c r="F126" s="2"/>
      <c r="G126" s="2"/>
      <c r="H126" s="6" t="str">
        <f t="shared" si="3"/>
        <v/>
      </c>
    </row>
    <row r="127" spans="1:8" ht="16.5" customHeight="1">
      <c r="A127" s="4"/>
      <c r="B127" s="2"/>
      <c r="C127" s="2"/>
      <c r="D127" s="2"/>
      <c r="E127" s="5"/>
      <c r="F127" s="2"/>
      <c r="G127" s="2"/>
      <c r="H127" s="6" t="str">
        <f t="shared" si="3"/>
        <v/>
      </c>
    </row>
    <row r="128" spans="1:8" ht="16.5" customHeight="1">
      <c r="A128" s="4"/>
      <c r="B128" s="2"/>
      <c r="C128" s="2"/>
      <c r="D128" s="2"/>
      <c r="E128" s="5"/>
      <c r="F128" s="2"/>
      <c r="G128" s="2"/>
      <c r="H128" s="6" t="str">
        <f t="shared" si="3"/>
        <v/>
      </c>
    </row>
    <row r="129" spans="1:8" ht="16.5" customHeight="1">
      <c r="A129" s="4"/>
      <c r="B129" s="2"/>
      <c r="C129" s="2"/>
      <c r="D129" s="2"/>
      <c r="E129" s="5"/>
      <c r="F129" s="2"/>
      <c r="G129" s="2"/>
      <c r="H129" s="6" t="str">
        <f t="shared" si="3"/>
        <v/>
      </c>
    </row>
    <row r="130" spans="1:8" ht="16.5" customHeight="1">
      <c r="A130" s="4"/>
      <c r="B130" s="2"/>
      <c r="C130" s="2"/>
      <c r="D130" s="2"/>
      <c r="E130" s="5"/>
      <c r="F130" s="2"/>
      <c r="G130" s="2"/>
      <c r="H130" s="6" t="str">
        <f t="shared" si="3"/>
        <v/>
      </c>
    </row>
    <row r="131" spans="1:8" ht="16.5" customHeight="1">
      <c r="A131" s="4"/>
      <c r="B131" s="2"/>
      <c r="C131" s="2"/>
      <c r="D131" s="2"/>
      <c r="E131" s="5"/>
      <c r="F131" s="2"/>
      <c r="G131" s="2"/>
      <c r="H131" s="6" t="str">
        <f t="shared" si="3"/>
        <v/>
      </c>
    </row>
    <row r="132" spans="1:8" ht="16.5" customHeight="1">
      <c r="A132" s="4"/>
      <c r="B132" s="2"/>
      <c r="C132" s="2"/>
      <c r="D132" s="2"/>
      <c r="E132" s="5"/>
      <c r="F132" s="2"/>
      <c r="G132" s="2"/>
      <c r="H132" s="6" t="str">
        <f t="shared" si="3"/>
        <v/>
      </c>
    </row>
    <row r="133" spans="1:8" ht="16.5" customHeight="1">
      <c r="A133" s="4"/>
      <c r="B133" s="2"/>
      <c r="C133" s="2"/>
      <c r="D133" s="2"/>
      <c r="E133" s="5"/>
      <c r="F133" s="2"/>
      <c r="G133" s="2"/>
      <c r="H133" s="6" t="str">
        <f t="shared" si="3"/>
        <v/>
      </c>
    </row>
    <row r="134" spans="1:8" ht="16.5" customHeight="1">
      <c r="A134" s="4"/>
      <c r="B134" s="2"/>
      <c r="C134" s="2"/>
      <c r="D134" s="2"/>
      <c r="E134" s="5"/>
      <c r="F134" s="2"/>
      <c r="G134" s="2"/>
      <c r="H134" s="6" t="str">
        <f t="shared" ref="H134:H165" si="4">IF(A134="","",TEXT(A134,"yyyy-mm"))</f>
        <v/>
      </c>
    </row>
    <row r="135" spans="1:8" ht="16.5" customHeight="1">
      <c r="A135" s="4"/>
      <c r="B135" s="2"/>
      <c r="C135" s="2"/>
      <c r="D135" s="2"/>
      <c r="E135" s="5"/>
      <c r="F135" s="2"/>
      <c r="G135" s="2"/>
      <c r="H135" s="6" t="str">
        <f t="shared" si="4"/>
        <v/>
      </c>
    </row>
    <row r="136" spans="1:8" ht="16.5" customHeight="1">
      <c r="A136" s="4"/>
      <c r="B136" s="2"/>
      <c r="C136" s="2"/>
      <c r="D136" s="2"/>
      <c r="E136" s="5"/>
      <c r="F136" s="2"/>
      <c r="G136" s="2"/>
      <c r="H136" s="6" t="str">
        <f t="shared" si="4"/>
        <v/>
      </c>
    </row>
    <row r="137" spans="1:8" ht="16.5" customHeight="1">
      <c r="A137" s="4"/>
      <c r="B137" s="2"/>
      <c r="C137" s="2"/>
      <c r="D137" s="2"/>
      <c r="E137" s="5"/>
      <c r="F137" s="2"/>
      <c r="G137" s="2"/>
      <c r="H137" s="6" t="str">
        <f t="shared" si="4"/>
        <v/>
      </c>
    </row>
    <row r="138" spans="1:8" ht="16.5" customHeight="1">
      <c r="A138" s="4"/>
      <c r="B138" s="2"/>
      <c r="C138" s="2"/>
      <c r="D138" s="2"/>
      <c r="E138" s="5"/>
      <c r="F138" s="2"/>
      <c r="G138" s="2"/>
      <c r="H138" s="6" t="str">
        <f t="shared" si="4"/>
        <v/>
      </c>
    </row>
    <row r="139" spans="1:8" ht="16.5" customHeight="1">
      <c r="A139" s="4"/>
      <c r="B139" s="2"/>
      <c r="C139" s="2"/>
      <c r="D139" s="2"/>
      <c r="E139" s="5"/>
      <c r="F139" s="2"/>
      <c r="G139" s="2"/>
      <c r="H139" s="6" t="str">
        <f t="shared" si="4"/>
        <v/>
      </c>
    </row>
    <row r="140" spans="1:8" ht="16.5" customHeight="1">
      <c r="A140" s="4"/>
      <c r="B140" s="2"/>
      <c r="C140" s="2"/>
      <c r="D140" s="2"/>
      <c r="E140" s="5"/>
      <c r="F140" s="2"/>
      <c r="G140" s="2"/>
      <c r="H140" s="6" t="str">
        <f t="shared" si="4"/>
        <v/>
      </c>
    </row>
    <row r="141" spans="1:8" ht="16.5" customHeight="1">
      <c r="A141" s="4"/>
      <c r="B141" s="2"/>
      <c r="C141" s="2"/>
      <c r="D141" s="2"/>
      <c r="E141" s="5"/>
      <c r="F141" s="2"/>
      <c r="G141" s="2"/>
      <c r="H141" s="6" t="str">
        <f t="shared" si="4"/>
        <v/>
      </c>
    </row>
    <row r="142" spans="1:8" ht="16.5" customHeight="1">
      <c r="A142" s="4"/>
      <c r="B142" s="2"/>
      <c r="C142" s="2"/>
      <c r="D142" s="2"/>
      <c r="E142" s="5"/>
      <c r="F142" s="2"/>
      <c r="G142" s="2"/>
      <c r="H142" s="6" t="str">
        <f t="shared" si="4"/>
        <v/>
      </c>
    </row>
    <row r="143" spans="1:8" ht="16.5" customHeight="1">
      <c r="A143" s="4"/>
      <c r="B143" s="2"/>
      <c r="C143" s="2"/>
      <c r="D143" s="2"/>
      <c r="E143" s="5"/>
      <c r="F143" s="2"/>
      <c r="G143" s="2"/>
      <c r="H143" s="6" t="str">
        <f t="shared" si="4"/>
        <v/>
      </c>
    </row>
    <row r="144" spans="1:8" ht="16.5" customHeight="1">
      <c r="A144" s="4"/>
      <c r="B144" s="2"/>
      <c r="C144" s="2"/>
      <c r="D144" s="2"/>
      <c r="E144" s="5"/>
      <c r="F144" s="2"/>
      <c r="G144" s="2"/>
      <c r="H144" s="6" t="str">
        <f t="shared" si="4"/>
        <v/>
      </c>
    </row>
    <row r="145" spans="1:8" ht="16.5" customHeight="1">
      <c r="A145" s="4"/>
      <c r="B145" s="2"/>
      <c r="C145" s="2"/>
      <c r="D145" s="2"/>
      <c r="E145" s="5"/>
      <c r="F145" s="2"/>
      <c r="G145" s="2"/>
      <c r="H145" s="6" t="str">
        <f t="shared" si="4"/>
        <v/>
      </c>
    </row>
    <row r="146" spans="1:8" ht="16.5" customHeight="1">
      <c r="A146" s="4"/>
      <c r="B146" s="2"/>
      <c r="C146" s="2"/>
      <c r="D146" s="2"/>
      <c r="E146" s="5"/>
      <c r="F146" s="2"/>
      <c r="G146" s="2"/>
      <c r="H146" s="6" t="str">
        <f t="shared" si="4"/>
        <v/>
      </c>
    </row>
    <row r="147" spans="1:8" ht="16.5" customHeight="1">
      <c r="A147" s="4"/>
      <c r="B147" s="2"/>
      <c r="C147" s="2"/>
      <c r="D147" s="2"/>
      <c r="E147" s="5"/>
      <c r="F147" s="2"/>
      <c r="G147" s="2"/>
      <c r="H147" s="6" t="str">
        <f t="shared" si="4"/>
        <v/>
      </c>
    </row>
    <row r="148" spans="1:8" ht="16.5" customHeight="1">
      <c r="A148" s="4"/>
      <c r="B148" s="2"/>
      <c r="C148" s="2"/>
      <c r="D148" s="2"/>
      <c r="E148" s="5"/>
      <c r="F148" s="2"/>
      <c r="G148" s="2"/>
      <c r="H148" s="6" t="str">
        <f t="shared" si="4"/>
        <v/>
      </c>
    </row>
    <row r="149" spans="1:8" ht="16.5" customHeight="1">
      <c r="A149" s="4"/>
      <c r="B149" s="2"/>
      <c r="C149" s="2"/>
      <c r="D149" s="2"/>
      <c r="E149" s="5"/>
      <c r="F149" s="2"/>
      <c r="G149" s="2"/>
      <c r="H149" s="6" t="str">
        <f t="shared" si="4"/>
        <v/>
      </c>
    </row>
    <row r="150" spans="1:8" ht="16.5" customHeight="1">
      <c r="A150" s="4"/>
      <c r="B150" s="2"/>
      <c r="C150" s="2"/>
      <c r="D150" s="2"/>
      <c r="E150" s="5"/>
      <c r="F150" s="2"/>
      <c r="G150" s="2"/>
      <c r="H150" s="6" t="str">
        <f t="shared" si="4"/>
        <v/>
      </c>
    </row>
    <row r="151" spans="1:8" ht="16.5" customHeight="1">
      <c r="A151" s="4"/>
      <c r="B151" s="2"/>
      <c r="C151" s="2"/>
      <c r="D151" s="2"/>
      <c r="E151" s="5"/>
      <c r="F151" s="2"/>
      <c r="G151" s="2"/>
      <c r="H151" s="6" t="str">
        <f t="shared" si="4"/>
        <v/>
      </c>
    </row>
    <row r="152" spans="1:8" ht="16.5" customHeight="1">
      <c r="A152" s="4"/>
      <c r="B152" s="2"/>
      <c r="C152" s="2"/>
      <c r="D152" s="2"/>
      <c r="E152" s="5"/>
      <c r="F152" s="2"/>
      <c r="G152" s="2"/>
      <c r="H152" s="6" t="str">
        <f t="shared" si="4"/>
        <v/>
      </c>
    </row>
    <row r="153" spans="1:8" ht="16.5" customHeight="1">
      <c r="A153" s="4"/>
      <c r="B153" s="2"/>
      <c r="C153" s="2"/>
      <c r="D153" s="2"/>
      <c r="E153" s="5"/>
      <c r="F153" s="2"/>
      <c r="G153" s="2"/>
      <c r="H153" s="6" t="str">
        <f t="shared" si="4"/>
        <v/>
      </c>
    </row>
    <row r="154" spans="1:8" ht="16.5" customHeight="1">
      <c r="A154" s="4"/>
      <c r="B154" s="2"/>
      <c r="C154" s="2"/>
      <c r="D154" s="2"/>
      <c r="E154" s="5"/>
      <c r="F154" s="2"/>
      <c r="G154" s="2"/>
      <c r="H154" s="6" t="str">
        <f t="shared" si="4"/>
        <v/>
      </c>
    </row>
    <row r="155" spans="1:8" ht="16.5" customHeight="1">
      <c r="A155" s="4"/>
      <c r="B155" s="2"/>
      <c r="C155" s="2"/>
      <c r="D155" s="2"/>
      <c r="E155" s="5"/>
      <c r="F155" s="2"/>
      <c r="G155" s="2"/>
      <c r="H155" s="6" t="str">
        <f t="shared" si="4"/>
        <v/>
      </c>
    </row>
    <row r="156" spans="1:8" ht="16.5" customHeight="1">
      <c r="A156" s="4"/>
      <c r="B156" s="2"/>
      <c r="C156" s="2"/>
      <c r="D156" s="2"/>
      <c r="E156" s="5"/>
      <c r="F156" s="2"/>
      <c r="G156" s="2"/>
      <c r="H156" s="6" t="str">
        <f t="shared" si="4"/>
        <v/>
      </c>
    </row>
    <row r="157" spans="1:8" ht="16.5" customHeight="1">
      <c r="A157" s="4"/>
      <c r="B157" s="2"/>
      <c r="C157" s="2"/>
      <c r="D157" s="2"/>
      <c r="E157" s="5"/>
      <c r="F157" s="2"/>
      <c r="G157" s="2"/>
      <c r="H157" s="6" t="str">
        <f t="shared" si="4"/>
        <v/>
      </c>
    </row>
    <row r="158" spans="1:8" ht="16.5" customHeight="1">
      <c r="A158" s="4"/>
      <c r="B158" s="2"/>
      <c r="C158" s="2"/>
      <c r="D158" s="2"/>
      <c r="E158" s="5"/>
      <c r="F158" s="2"/>
      <c r="G158" s="2"/>
      <c r="H158" s="6" t="str">
        <f t="shared" si="4"/>
        <v/>
      </c>
    </row>
    <row r="159" spans="1:8" ht="16.5" customHeight="1">
      <c r="A159" s="4"/>
      <c r="B159" s="2"/>
      <c r="C159" s="2"/>
      <c r="D159" s="2"/>
      <c r="E159" s="5"/>
      <c r="F159" s="2"/>
      <c r="G159" s="2"/>
      <c r="H159" s="6" t="str">
        <f t="shared" si="4"/>
        <v/>
      </c>
    </row>
    <row r="160" spans="1:8" ht="16.5" customHeight="1">
      <c r="A160" s="4"/>
      <c r="B160" s="2"/>
      <c r="C160" s="2"/>
      <c r="D160" s="2"/>
      <c r="E160" s="5"/>
      <c r="F160" s="2"/>
      <c r="G160" s="2"/>
      <c r="H160" s="6" t="str">
        <f t="shared" si="4"/>
        <v/>
      </c>
    </row>
    <row r="161" spans="1:8" ht="16.5" customHeight="1">
      <c r="A161" s="4"/>
      <c r="B161" s="2"/>
      <c r="C161" s="2"/>
      <c r="D161" s="2"/>
      <c r="E161" s="5"/>
      <c r="F161" s="2"/>
      <c r="G161" s="2"/>
      <c r="H161" s="6" t="str">
        <f t="shared" si="4"/>
        <v/>
      </c>
    </row>
    <row r="162" spans="1:8" ht="16.5" customHeight="1">
      <c r="A162" s="4"/>
      <c r="B162" s="2"/>
      <c r="C162" s="2"/>
      <c r="D162" s="2"/>
      <c r="E162" s="5"/>
      <c r="F162" s="2"/>
      <c r="G162" s="2"/>
      <c r="H162" s="6" t="str">
        <f t="shared" si="4"/>
        <v/>
      </c>
    </row>
    <row r="163" spans="1:8" ht="16.5" customHeight="1">
      <c r="A163" s="4"/>
      <c r="B163" s="2"/>
      <c r="C163" s="2"/>
      <c r="D163" s="2"/>
      <c r="E163" s="5"/>
      <c r="F163" s="2"/>
      <c r="G163" s="2"/>
      <c r="H163" s="6" t="str">
        <f t="shared" si="4"/>
        <v/>
      </c>
    </row>
    <row r="164" spans="1:8" ht="16.5" customHeight="1">
      <c r="A164" s="4"/>
      <c r="B164" s="2"/>
      <c r="C164" s="2"/>
      <c r="D164" s="2"/>
      <c r="E164" s="5"/>
      <c r="F164" s="2"/>
      <c r="G164" s="2"/>
      <c r="H164" s="6" t="str">
        <f t="shared" si="4"/>
        <v/>
      </c>
    </row>
    <row r="165" spans="1:8" ht="16.5" customHeight="1">
      <c r="A165" s="4"/>
      <c r="B165" s="2"/>
      <c r="C165" s="2"/>
      <c r="D165" s="2"/>
      <c r="E165" s="5"/>
      <c r="F165" s="2"/>
      <c r="G165" s="2"/>
      <c r="H165" s="6" t="str">
        <f t="shared" si="4"/>
        <v/>
      </c>
    </row>
    <row r="166" spans="1:8" ht="16.5" customHeight="1">
      <c r="A166" s="4"/>
      <c r="B166" s="2"/>
      <c r="C166" s="2"/>
      <c r="D166" s="2"/>
      <c r="E166" s="5"/>
      <c r="F166" s="2"/>
      <c r="G166" s="2"/>
      <c r="H166" s="6" t="str">
        <f t="shared" ref="H166:H197" si="5">IF(A166="","",TEXT(A166,"yyyy-mm"))</f>
        <v/>
      </c>
    </row>
    <row r="167" spans="1:8" ht="16.5" customHeight="1">
      <c r="A167" s="4"/>
      <c r="B167" s="2"/>
      <c r="C167" s="2"/>
      <c r="D167" s="2"/>
      <c r="E167" s="5"/>
      <c r="F167" s="2"/>
      <c r="G167" s="2"/>
      <c r="H167" s="6" t="str">
        <f t="shared" si="5"/>
        <v/>
      </c>
    </row>
    <row r="168" spans="1:8" ht="16.5" customHeight="1">
      <c r="A168" s="4"/>
      <c r="B168" s="2"/>
      <c r="C168" s="2"/>
      <c r="D168" s="2"/>
      <c r="E168" s="5"/>
      <c r="F168" s="2"/>
      <c r="G168" s="2"/>
      <c r="H168" s="6" t="str">
        <f t="shared" si="5"/>
        <v/>
      </c>
    </row>
    <row r="169" spans="1:8" ht="16.5" customHeight="1">
      <c r="A169" s="4"/>
      <c r="B169" s="2"/>
      <c r="C169" s="2"/>
      <c r="D169" s="2"/>
      <c r="E169" s="5"/>
      <c r="F169" s="2"/>
      <c r="G169" s="2"/>
      <c r="H169" s="6" t="str">
        <f t="shared" si="5"/>
        <v/>
      </c>
    </row>
    <row r="170" spans="1:8" ht="16.5" customHeight="1">
      <c r="A170" s="4"/>
      <c r="B170" s="2"/>
      <c r="C170" s="2"/>
      <c r="D170" s="2"/>
      <c r="E170" s="5"/>
      <c r="F170" s="2"/>
      <c r="G170" s="2"/>
      <c r="H170" s="6" t="str">
        <f t="shared" si="5"/>
        <v/>
      </c>
    </row>
    <row r="171" spans="1:8" ht="16.5" customHeight="1">
      <c r="A171" s="4"/>
      <c r="B171" s="2"/>
      <c r="C171" s="2"/>
      <c r="D171" s="2"/>
      <c r="E171" s="5"/>
      <c r="F171" s="2"/>
      <c r="G171" s="2"/>
      <c r="H171" s="6" t="str">
        <f t="shared" si="5"/>
        <v/>
      </c>
    </row>
    <row r="172" spans="1:8" ht="16.5" customHeight="1">
      <c r="A172" s="4"/>
      <c r="B172" s="2"/>
      <c r="C172" s="2"/>
      <c r="D172" s="2"/>
      <c r="E172" s="5"/>
      <c r="F172" s="2"/>
      <c r="G172" s="2"/>
      <c r="H172" s="6" t="str">
        <f t="shared" si="5"/>
        <v/>
      </c>
    </row>
    <row r="173" spans="1:8" ht="16.5" customHeight="1">
      <c r="A173" s="4"/>
      <c r="B173" s="2"/>
      <c r="C173" s="2"/>
      <c r="D173" s="2"/>
      <c r="E173" s="5"/>
      <c r="F173" s="2"/>
      <c r="G173" s="2"/>
      <c r="H173" s="6" t="str">
        <f t="shared" si="5"/>
        <v/>
      </c>
    </row>
    <row r="174" spans="1:8" ht="16.5" customHeight="1">
      <c r="A174" s="4"/>
      <c r="B174" s="2"/>
      <c r="C174" s="2"/>
      <c r="D174" s="2"/>
      <c r="E174" s="5"/>
      <c r="F174" s="2"/>
      <c r="G174" s="2"/>
      <c r="H174" s="6" t="str">
        <f t="shared" si="5"/>
        <v/>
      </c>
    </row>
    <row r="175" spans="1:8" ht="16.5" customHeight="1">
      <c r="A175" s="4"/>
      <c r="B175" s="2"/>
      <c r="C175" s="2"/>
      <c r="D175" s="2"/>
      <c r="E175" s="5"/>
      <c r="F175" s="2"/>
      <c r="G175" s="2"/>
      <c r="H175" s="6" t="str">
        <f t="shared" si="5"/>
        <v/>
      </c>
    </row>
    <row r="176" spans="1:8" ht="16.5" customHeight="1">
      <c r="A176" s="4"/>
      <c r="B176" s="2"/>
      <c r="C176" s="2"/>
      <c r="D176" s="2"/>
      <c r="E176" s="5"/>
      <c r="F176" s="2"/>
      <c r="G176" s="2"/>
      <c r="H176" s="6" t="str">
        <f t="shared" si="5"/>
        <v/>
      </c>
    </row>
    <row r="177" spans="1:8" ht="16.5" customHeight="1">
      <c r="A177" s="4"/>
      <c r="B177" s="2"/>
      <c r="C177" s="2"/>
      <c r="D177" s="2"/>
      <c r="E177" s="5"/>
      <c r="F177" s="2"/>
      <c r="G177" s="2"/>
      <c r="H177" s="6" t="str">
        <f t="shared" si="5"/>
        <v/>
      </c>
    </row>
    <row r="178" spans="1:8" ht="16.5" customHeight="1">
      <c r="A178" s="4"/>
      <c r="B178" s="2"/>
      <c r="C178" s="2"/>
      <c r="D178" s="2"/>
      <c r="E178" s="5"/>
      <c r="F178" s="2"/>
      <c r="G178" s="2"/>
      <c r="H178" s="6" t="str">
        <f t="shared" si="5"/>
        <v/>
      </c>
    </row>
    <row r="179" spans="1:8" ht="16.5" customHeight="1">
      <c r="A179" s="4"/>
      <c r="B179" s="2"/>
      <c r="C179" s="2"/>
      <c r="D179" s="2"/>
      <c r="E179" s="5"/>
      <c r="F179" s="2"/>
      <c r="G179" s="2"/>
      <c r="H179" s="6" t="str">
        <f t="shared" si="5"/>
        <v/>
      </c>
    </row>
    <row r="180" spans="1:8" ht="16.5" customHeight="1">
      <c r="A180" s="4"/>
      <c r="B180" s="2"/>
      <c r="C180" s="2"/>
      <c r="D180" s="2"/>
      <c r="E180" s="5"/>
      <c r="F180" s="2"/>
      <c r="G180" s="2"/>
      <c r="H180" s="6" t="str">
        <f t="shared" si="5"/>
        <v/>
      </c>
    </row>
    <row r="181" spans="1:8" ht="16.5" customHeight="1">
      <c r="A181" s="4"/>
      <c r="B181" s="2"/>
      <c r="C181" s="2"/>
      <c r="D181" s="2"/>
      <c r="E181" s="5"/>
      <c r="F181" s="2"/>
      <c r="G181" s="2"/>
      <c r="H181" s="6" t="str">
        <f t="shared" si="5"/>
        <v/>
      </c>
    </row>
    <row r="182" spans="1:8" ht="16.5" customHeight="1">
      <c r="A182" s="4"/>
      <c r="B182" s="2"/>
      <c r="C182" s="2"/>
      <c r="D182" s="2"/>
      <c r="E182" s="5"/>
      <c r="F182" s="2"/>
      <c r="G182" s="2"/>
      <c r="H182" s="6" t="str">
        <f t="shared" si="5"/>
        <v/>
      </c>
    </row>
    <row r="183" spans="1:8" ht="16.5" customHeight="1">
      <c r="A183" s="4"/>
      <c r="B183" s="2"/>
      <c r="C183" s="2"/>
      <c r="D183" s="2"/>
      <c r="E183" s="5"/>
      <c r="F183" s="2"/>
      <c r="G183" s="2"/>
      <c r="H183" s="6" t="str">
        <f t="shared" si="5"/>
        <v/>
      </c>
    </row>
    <row r="184" spans="1:8" ht="16.5" customHeight="1">
      <c r="A184" s="4"/>
      <c r="B184" s="2"/>
      <c r="C184" s="2"/>
      <c r="D184" s="2"/>
      <c r="E184" s="5"/>
      <c r="F184" s="2"/>
      <c r="G184" s="2"/>
      <c r="H184" s="6" t="str">
        <f t="shared" si="5"/>
        <v/>
      </c>
    </row>
    <row r="185" spans="1:8" ht="16.5" customHeight="1">
      <c r="A185" s="4"/>
      <c r="B185" s="2"/>
      <c r="C185" s="2"/>
      <c r="D185" s="2"/>
      <c r="E185" s="5"/>
      <c r="F185" s="2"/>
      <c r="G185" s="2"/>
      <c r="H185" s="6" t="str">
        <f t="shared" si="5"/>
        <v/>
      </c>
    </row>
    <row r="186" spans="1:8" ht="16.5" customHeight="1">
      <c r="A186" s="4"/>
      <c r="B186" s="2"/>
      <c r="C186" s="2"/>
      <c r="D186" s="2"/>
      <c r="E186" s="5"/>
      <c r="F186" s="2"/>
      <c r="G186" s="2"/>
      <c r="H186" s="6" t="str">
        <f t="shared" si="5"/>
        <v/>
      </c>
    </row>
    <row r="187" spans="1:8" ht="16.5" customHeight="1">
      <c r="A187" s="4"/>
      <c r="B187" s="2"/>
      <c r="C187" s="2"/>
      <c r="D187" s="2"/>
      <c r="E187" s="5"/>
      <c r="F187" s="2"/>
      <c r="G187" s="2"/>
      <c r="H187" s="6" t="str">
        <f t="shared" si="5"/>
        <v/>
      </c>
    </row>
    <row r="188" spans="1:8" ht="16.5" customHeight="1">
      <c r="A188" s="4"/>
      <c r="B188" s="2"/>
      <c r="C188" s="2"/>
      <c r="D188" s="2"/>
      <c r="E188" s="5"/>
      <c r="F188" s="2"/>
      <c r="G188" s="2"/>
      <c r="H188" s="6" t="str">
        <f t="shared" si="5"/>
        <v/>
      </c>
    </row>
    <row r="189" spans="1:8" ht="16.5" customHeight="1">
      <c r="A189" s="4"/>
      <c r="B189" s="2"/>
      <c r="C189" s="2"/>
      <c r="D189" s="2"/>
      <c r="E189" s="5"/>
      <c r="F189" s="2"/>
      <c r="G189" s="2"/>
      <c r="H189" s="6" t="str">
        <f t="shared" si="5"/>
        <v/>
      </c>
    </row>
    <row r="190" spans="1:8" ht="16.5" customHeight="1">
      <c r="A190" s="4"/>
      <c r="B190" s="2"/>
      <c r="C190" s="2"/>
      <c r="D190" s="2"/>
      <c r="E190" s="5"/>
      <c r="F190" s="2"/>
      <c r="G190" s="2"/>
      <c r="H190" s="6" t="str">
        <f t="shared" si="5"/>
        <v/>
      </c>
    </row>
    <row r="191" spans="1:8" ht="16.5" customHeight="1">
      <c r="A191" s="4"/>
      <c r="B191" s="2"/>
      <c r="C191" s="2"/>
      <c r="D191" s="2"/>
      <c r="E191" s="5"/>
      <c r="F191" s="2"/>
      <c r="G191" s="2"/>
      <c r="H191" s="6" t="str">
        <f t="shared" si="5"/>
        <v/>
      </c>
    </row>
    <row r="192" spans="1:8" ht="16.5" customHeight="1">
      <c r="A192" s="4"/>
      <c r="B192" s="2"/>
      <c r="C192" s="2"/>
      <c r="D192" s="2"/>
      <c r="E192" s="5"/>
      <c r="F192" s="2"/>
      <c r="G192" s="2"/>
      <c r="H192" s="6" t="str">
        <f t="shared" si="5"/>
        <v/>
      </c>
    </row>
    <row r="193" spans="1:8" ht="16.5" customHeight="1">
      <c r="A193" s="4"/>
      <c r="B193" s="2"/>
      <c r="C193" s="2"/>
      <c r="D193" s="2"/>
      <c r="E193" s="5"/>
      <c r="F193" s="2"/>
      <c r="G193" s="2"/>
      <c r="H193" s="6" t="str">
        <f t="shared" si="5"/>
        <v/>
      </c>
    </row>
    <row r="194" spans="1:8" ht="16.5" customHeight="1">
      <c r="A194" s="4"/>
      <c r="B194" s="2"/>
      <c r="C194" s="2"/>
      <c r="D194" s="2"/>
      <c r="E194" s="5"/>
      <c r="F194" s="2"/>
      <c r="G194" s="2"/>
      <c r="H194" s="6" t="str">
        <f t="shared" si="5"/>
        <v/>
      </c>
    </row>
    <row r="195" spans="1:8" ht="16.5" customHeight="1">
      <c r="A195" s="4"/>
      <c r="B195" s="2"/>
      <c r="C195" s="2"/>
      <c r="D195" s="2"/>
      <c r="E195" s="5"/>
      <c r="F195" s="2"/>
      <c r="G195" s="2"/>
      <c r="H195" s="6" t="str">
        <f t="shared" si="5"/>
        <v/>
      </c>
    </row>
    <row r="196" spans="1:8" ht="16.5" customHeight="1">
      <c r="A196" s="4"/>
      <c r="B196" s="2"/>
      <c r="C196" s="2"/>
      <c r="D196" s="2"/>
      <c r="E196" s="5"/>
      <c r="F196" s="2"/>
      <c r="G196" s="2"/>
      <c r="H196" s="6" t="str">
        <f t="shared" si="5"/>
        <v/>
      </c>
    </row>
    <row r="197" spans="1:8" ht="16.5" customHeight="1">
      <c r="A197" s="4"/>
      <c r="B197" s="2"/>
      <c r="C197" s="2"/>
      <c r="D197" s="2"/>
      <c r="E197" s="5"/>
      <c r="F197" s="2"/>
      <c r="G197" s="2"/>
      <c r="H197" s="6" t="str">
        <f t="shared" si="5"/>
        <v/>
      </c>
    </row>
    <row r="198" spans="1:8" ht="16.5" customHeight="1">
      <c r="A198" s="4"/>
      <c r="B198" s="2"/>
      <c r="C198" s="2"/>
      <c r="D198" s="2"/>
      <c r="E198" s="5"/>
      <c r="F198" s="2"/>
      <c r="G198" s="2"/>
      <c r="H198" s="6" t="str">
        <f t="shared" ref="H198:H205" si="6">IF(A198="","",TEXT(A198,"yyyy-mm"))</f>
        <v/>
      </c>
    </row>
    <row r="199" spans="1:8" ht="16.5" customHeight="1">
      <c r="A199" s="4"/>
      <c r="B199" s="2"/>
      <c r="C199" s="2"/>
      <c r="D199" s="2"/>
      <c r="E199" s="5"/>
      <c r="F199" s="2"/>
      <c r="G199" s="2"/>
      <c r="H199" s="6" t="str">
        <f t="shared" si="6"/>
        <v/>
      </c>
    </row>
    <row r="200" spans="1:8" ht="16.5" customHeight="1">
      <c r="A200" s="4"/>
      <c r="B200" s="2"/>
      <c r="C200" s="2"/>
      <c r="D200" s="2"/>
      <c r="E200" s="5"/>
      <c r="F200" s="2"/>
      <c r="G200" s="2"/>
      <c r="H200" s="6" t="str">
        <f t="shared" si="6"/>
        <v/>
      </c>
    </row>
    <row r="201" spans="1:8" ht="16.5" customHeight="1">
      <c r="A201" s="4"/>
      <c r="B201" s="2"/>
      <c r="C201" s="2"/>
      <c r="D201" s="2"/>
      <c r="E201" s="5"/>
      <c r="F201" s="2"/>
      <c r="G201" s="2"/>
      <c r="H201" s="6" t="str">
        <f t="shared" si="6"/>
        <v/>
      </c>
    </row>
    <row r="202" spans="1:8" ht="16.5" customHeight="1">
      <c r="A202" s="4"/>
      <c r="B202" s="2"/>
      <c r="C202" s="2"/>
      <c r="D202" s="2"/>
      <c r="E202" s="5"/>
      <c r="F202" s="2"/>
      <c r="G202" s="2"/>
      <c r="H202" s="6" t="str">
        <f t="shared" si="6"/>
        <v/>
      </c>
    </row>
    <row r="203" spans="1:8" ht="16.5" customHeight="1">
      <c r="A203" s="4"/>
      <c r="B203" s="2"/>
      <c r="C203" s="2"/>
      <c r="D203" s="2"/>
      <c r="E203" s="5"/>
      <c r="F203" s="2"/>
      <c r="G203" s="2"/>
      <c r="H203" s="6" t="str">
        <f t="shared" si="6"/>
        <v/>
      </c>
    </row>
    <row r="204" spans="1:8" ht="16.5" customHeight="1">
      <c r="A204" s="4"/>
      <c r="B204" s="2"/>
      <c r="C204" s="2"/>
      <c r="D204" s="2"/>
      <c r="E204" s="5"/>
      <c r="F204" s="2"/>
      <c r="G204" s="2"/>
      <c r="H204" s="6" t="str">
        <f t="shared" si="6"/>
        <v/>
      </c>
    </row>
    <row r="205" spans="1:8" ht="16.5" customHeight="1">
      <c r="A205" s="4"/>
      <c r="B205" s="2"/>
      <c r="C205" s="2"/>
      <c r="D205" s="2"/>
      <c r="E205" s="5"/>
      <c r="F205" s="2"/>
      <c r="G205" s="2"/>
      <c r="H205" s="6" t="str">
        <f t="shared" si="6"/>
        <v/>
      </c>
    </row>
  </sheetData>
  <mergeCells count="3">
    <mergeCell ref="A1:H1"/>
    <mergeCell ref="A2:H2"/>
    <mergeCell ref="A4:H4"/>
  </mergeCells>
  <conditionalFormatting sqref="E6:E205">
    <cfRule type="cellIs" dxfId="2" priority="1" operator="greaterThan">
      <formula>100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Listas!$A$4:$A$13</xm:f>
          </x14:formula1>
          <xm:sqref>C6:C205</xm:sqref>
        </x14:dataValidation>
        <x14:dataValidation type="list" xr:uid="{00000000-0002-0000-0100-000001000000}">
          <x14:formula1>
            <xm:f>Listas!$C$4:$C$9</xm:f>
          </x14:formula1>
          <xm:sqref>D6:D205</xm:sqref>
        </x14:dataValidation>
        <x14:dataValidation type="list" xr:uid="{00000000-0002-0000-0100-000002000000}">
          <x14:formula1>
            <xm:f>Listas!$B$4:$B$6</xm:f>
          </x14:formula1>
          <xm:sqref>F6:F205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5"/>
  <sheetViews>
    <sheetView showGridLines="0" workbookViewId="0"/>
  </sheetViews>
  <sheetFormatPr defaultRowHeight="13.8"/>
  <cols>
    <col min="1" max="1" width="13.09765625" customWidth="1"/>
    <col min="2" max="2" width="26.19921875" customWidth="1"/>
    <col min="3" max="3" width="16.8984375" customWidth="1"/>
    <col min="4" max="4" width="16.19921875" customWidth="1"/>
    <col min="5" max="5" width="13.69921875" customWidth="1"/>
    <col min="6" max="6" width="10.59765625" customWidth="1"/>
    <col min="7" max="8" width="13.69921875" customWidth="1"/>
    <col min="9" max="9" width="23.69921875" customWidth="1"/>
    <col min="10" max="10" width="11.19921875" customWidth="1"/>
  </cols>
  <sheetData>
    <row r="1" spans="1:10" ht="27" customHeight="1">
      <c r="A1" s="29" t="s">
        <v>57</v>
      </c>
      <c r="B1" s="29" t="s">
        <v>57</v>
      </c>
      <c r="C1" s="29" t="s">
        <v>57</v>
      </c>
      <c r="D1" s="29" t="s">
        <v>57</v>
      </c>
      <c r="E1" s="29" t="s">
        <v>57</v>
      </c>
      <c r="F1" s="29" t="s">
        <v>57</v>
      </c>
      <c r="G1" s="29" t="s">
        <v>57</v>
      </c>
      <c r="H1" s="29" t="s">
        <v>57</v>
      </c>
      <c r="I1" s="29" t="s">
        <v>57</v>
      </c>
      <c r="J1" s="29" t="s">
        <v>57</v>
      </c>
    </row>
    <row r="2" spans="1:10">
      <c r="A2" s="30" t="s">
        <v>58</v>
      </c>
      <c r="B2" s="30" t="s">
        <v>58</v>
      </c>
      <c r="C2" s="30" t="s">
        <v>58</v>
      </c>
      <c r="D2" s="30" t="s">
        <v>58</v>
      </c>
      <c r="E2" s="30" t="s">
        <v>58</v>
      </c>
      <c r="F2" s="30" t="s">
        <v>58</v>
      </c>
      <c r="G2" s="30" t="s">
        <v>58</v>
      </c>
      <c r="H2" s="30" t="s">
        <v>58</v>
      </c>
      <c r="I2" s="30" t="s">
        <v>58</v>
      </c>
      <c r="J2" s="30" t="s">
        <v>58</v>
      </c>
    </row>
    <row r="4" spans="1:10" ht="14.4">
      <c r="A4" s="31" t="s">
        <v>59</v>
      </c>
      <c r="B4" s="32" t="s">
        <v>59</v>
      </c>
      <c r="C4" s="32" t="s">
        <v>59</v>
      </c>
      <c r="D4" s="32" t="s">
        <v>59</v>
      </c>
      <c r="E4" s="32" t="s">
        <v>59</v>
      </c>
      <c r="F4" s="32" t="s">
        <v>59</v>
      </c>
      <c r="G4" s="32" t="s">
        <v>59</v>
      </c>
      <c r="H4" s="32" t="s">
        <v>59</v>
      </c>
      <c r="I4" s="32" t="s">
        <v>59</v>
      </c>
      <c r="J4" s="33" t="s">
        <v>59</v>
      </c>
    </row>
    <row r="5" spans="1:10" ht="21" customHeight="1">
      <c r="A5" s="1" t="s">
        <v>44</v>
      </c>
      <c r="B5" s="1" t="s">
        <v>45</v>
      </c>
      <c r="C5" s="1" t="s">
        <v>17</v>
      </c>
      <c r="D5" s="1" t="s">
        <v>60</v>
      </c>
      <c r="E5" s="1" t="s">
        <v>3</v>
      </c>
      <c r="F5" s="1" t="s">
        <v>61</v>
      </c>
      <c r="G5" s="1" t="s">
        <v>62</v>
      </c>
      <c r="H5" s="1" t="s">
        <v>47</v>
      </c>
      <c r="I5" s="1" t="s">
        <v>48</v>
      </c>
      <c r="J5" s="1" t="s">
        <v>13</v>
      </c>
    </row>
    <row r="6" spans="1:10" ht="16.5" customHeight="1">
      <c r="A6" s="4">
        <v>46174</v>
      </c>
      <c r="B6" s="2" t="s">
        <v>63</v>
      </c>
      <c r="C6" s="2" t="s">
        <v>33</v>
      </c>
      <c r="D6" s="2" t="s">
        <v>64</v>
      </c>
      <c r="E6" s="5">
        <v>29.9</v>
      </c>
      <c r="F6" s="7">
        <v>1</v>
      </c>
      <c r="G6" s="4">
        <v>46183</v>
      </c>
      <c r="H6" s="2" t="s">
        <v>65</v>
      </c>
      <c r="I6" s="2" t="s">
        <v>52</v>
      </c>
      <c r="J6" s="6" t="str">
        <f t="shared" ref="J6:J37" si="0">IF(A6="","",TEXT(A6,"yyyy-mm"))</f>
        <v>yyyy-06</v>
      </c>
    </row>
    <row r="7" spans="1:10" ht="16.5" customHeight="1">
      <c r="A7" s="4">
        <v>46176</v>
      </c>
      <c r="B7" s="2" t="s">
        <v>66</v>
      </c>
      <c r="C7" s="2" t="s">
        <v>31</v>
      </c>
      <c r="D7" s="2" t="s">
        <v>67</v>
      </c>
      <c r="E7" s="5">
        <v>54.8</v>
      </c>
      <c r="F7" s="7">
        <v>1</v>
      </c>
      <c r="G7" s="4">
        <v>46188</v>
      </c>
      <c r="H7" s="2" t="s">
        <v>65</v>
      </c>
      <c r="I7" s="2" t="s">
        <v>52</v>
      </c>
      <c r="J7" s="6" t="str">
        <f t="shared" si="0"/>
        <v>yyyy-06</v>
      </c>
    </row>
    <row r="8" spans="1:10" ht="16.5" customHeight="1">
      <c r="A8" s="4">
        <v>46179</v>
      </c>
      <c r="B8" s="2" t="s">
        <v>68</v>
      </c>
      <c r="C8" s="2" t="s">
        <v>35</v>
      </c>
      <c r="D8" s="2" t="s">
        <v>64</v>
      </c>
      <c r="E8" s="5">
        <v>79.900000000000006</v>
      </c>
      <c r="F8" s="7">
        <v>3</v>
      </c>
      <c r="G8" s="4">
        <v>46183</v>
      </c>
      <c r="H8" s="2" t="s">
        <v>65</v>
      </c>
      <c r="I8" s="2" t="s">
        <v>69</v>
      </c>
      <c r="J8" s="6" t="str">
        <f t="shared" si="0"/>
        <v>yyyy-06</v>
      </c>
    </row>
    <row r="9" spans="1:10" ht="16.5" customHeight="1">
      <c r="A9" s="4">
        <v>46181</v>
      </c>
      <c r="B9" s="2" t="s">
        <v>70</v>
      </c>
      <c r="C9" s="2" t="s">
        <v>29</v>
      </c>
      <c r="D9" s="2" t="s">
        <v>71</v>
      </c>
      <c r="E9" s="5">
        <v>36</v>
      </c>
      <c r="F9" s="7">
        <v>1</v>
      </c>
      <c r="G9" s="4">
        <v>46193</v>
      </c>
      <c r="H9" s="2" t="s">
        <v>65</v>
      </c>
      <c r="I9" s="2" t="s">
        <v>52</v>
      </c>
      <c r="J9" s="6" t="str">
        <f t="shared" si="0"/>
        <v>yyyy-06</v>
      </c>
    </row>
    <row r="10" spans="1:10" ht="16.5" customHeight="1">
      <c r="A10" s="4"/>
      <c r="B10" s="2"/>
      <c r="C10" s="2"/>
      <c r="D10" s="2"/>
      <c r="E10" s="5"/>
      <c r="F10" s="7"/>
      <c r="G10" s="4"/>
      <c r="H10" s="2"/>
      <c r="I10" s="2"/>
      <c r="J10" s="6" t="str">
        <f t="shared" si="0"/>
        <v/>
      </c>
    </row>
    <row r="11" spans="1:10" ht="16.5" customHeight="1">
      <c r="A11" s="4"/>
      <c r="B11" s="2"/>
      <c r="C11" s="2"/>
      <c r="D11" s="2"/>
      <c r="E11" s="5"/>
      <c r="F11" s="7"/>
      <c r="G11" s="4"/>
      <c r="H11" s="2"/>
      <c r="I11" s="2"/>
      <c r="J11" s="6" t="str">
        <f t="shared" si="0"/>
        <v/>
      </c>
    </row>
    <row r="12" spans="1:10" ht="16.5" customHeight="1">
      <c r="A12" s="4"/>
      <c r="B12" s="2"/>
      <c r="C12" s="2"/>
      <c r="D12" s="2"/>
      <c r="E12" s="5"/>
      <c r="F12" s="7"/>
      <c r="G12" s="4"/>
      <c r="H12" s="2"/>
      <c r="I12" s="2"/>
      <c r="J12" s="6" t="str">
        <f t="shared" si="0"/>
        <v/>
      </c>
    </row>
    <row r="13" spans="1:10" ht="16.5" customHeight="1">
      <c r="A13" s="4"/>
      <c r="B13" s="2"/>
      <c r="C13" s="2"/>
      <c r="D13" s="2"/>
      <c r="E13" s="5"/>
      <c r="F13" s="7"/>
      <c r="G13" s="4"/>
      <c r="H13" s="2"/>
      <c r="I13" s="2"/>
      <c r="J13" s="6" t="str">
        <f t="shared" si="0"/>
        <v/>
      </c>
    </row>
    <row r="14" spans="1:10" ht="16.5" customHeight="1">
      <c r="A14" s="4"/>
      <c r="B14" s="2"/>
      <c r="C14" s="2"/>
      <c r="D14" s="2"/>
      <c r="E14" s="5"/>
      <c r="F14" s="7"/>
      <c r="G14" s="4"/>
      <c r="H14" s="2"/>
      <c r="I14" s="2"/>
      <c r="J14" s="6" t="str">
        <f t="shared" si="0"/>
        <v/>
      </c>
    </row>
    <row r="15" spans="1:10" ht="16.5" customHeight="1">
      <c r="A15" s="4"/>
      <c r="B15" s="2"/>
      <c r="C15" s="2"/>
      <c r="D15" s="2"/>
      <c r="E15" s="5"/>
      <c r="F15" s="7"/>
      <c r="G15" s="4"/>
      <c r="H15" s="2"/>
      <c r="I15" s="2"/>
      <c r="J15" s="6" t="str">
        <f t="shared" si="0"/>
        <v/>
      </c>
    </row>
    <row r="16" spans="1:10" ht="16.5" customHeight="1">
      <c r="A16" s="4"/>
      <c r="B16" s="2"/>
      <c r="C16" s="2"/>
      <c r="D16" s="2"/>
      <c r="E16" s="5"/>
      <c r="F16" s="7"/>
      <c r="G16" s="4"/>
      <c r="H16" s="2"/>
      <c r="I16" s="2"/>
      <c r="J16" s="6" t="str">
        <f t="shared" si="0"/>
        <v/>
      </c>
    </row>
    <row r="17" spans="1:10" ht="16.5" customHeight="1">
      <c r="A17" s="4"/>
      <c r="B17" s="2"/>
      <c r="C17" s="2"/>
      <c r="D17" s="2"/>
      <c r="E17" s="5"/>
      <c r="F17" s="7"/>
      <c r="G17" s="4"/>
      <c r="H17" s="2"/>
      <c r="I17" s="2"/>
      <c r="J17" s="6" t="str">
        <f t="shared" si="0"/>
        <v/>
      </c>
    </row>
    <row r="18" spans="1:10" ht="16.5" customHeight="1">
      <c r="A18" s="4"/>
      <c r="B18" s="2"/>
      <c r="C18" s="2"/>
      <c r="D18" s="2"/>
      <c r="E18" s="5"/>
      <c r="F18" s="7"/>
      <c r="G18" s="4"/>
      <c r="H18" s="2"/>
      <c r="I18" s="2"/>
      <c r="J18" s="6" t="str">
        <f t="shared" si="0"/>
        <v/>
      </c>
    </row>
    <row r="19" spans="1:10" ht="16.5" customHeight="1">
      <c r="A19" s="4"/>
      <c r="B19" s="2"/>
      <c r="C19" s="2"/>
      <c r="D19" s="2"/>
      <c r="E19" s="5"/>
      <c r="F19" s="7"/>
      <c r="G19" s="4"/>
      <c r="H19" s="2"/>
      <c r="I19" s="2"/>
      <c r="J19" s="6" t="str">
        <f t="shared" si="0"/>
        <v/>
      </c>
    </row>
    <row r="20" spans="1:10" ht="16.5" customHeight="1">
      <c r="A20" s="4"/>
      <c r="B20" s="2"/>
      <c r="C20" s="2"/>
      <c r="D20" s="2"/>
      <c r="E20" s="5"/>
      <c r="F20" s="7"/>
      <c r="G20" s="4"/>
      <c r="H20" s="2"/>
      <c r="I20" s="2"/>
      <c r="J20" s="6" t="str">
        <f t="shared" si="0"/>
        <v/>
      </c>
    </row>
    <row r="21" spans="1:10" ht="16.5" customHeight="1">
      <c r="A21" s="4"/>
      <c r="B21" s="2"/>
      <c r="C21" s="2"/>
      <c r="D21" s="2"/>
      <c r="E21" s="5"/>
      <c r="F21" s="7"/>
      <c r="G21" s="4"/>
      <c r="H21" s="2"/>
      <c r="I21" s="2"/>
      <c r="J21" s="6" t="str">
        <f t="shared" si="0"/>
        <v/>
      </c>
    </row>
    <row r="22" spans="1:10" ht="16.5" customHeight="1">
      <c r="A22" s="4"/>
      <c r="B22" s="2"/>
      <c r="C22" s="2"/>
      <c r="D22" s="2"/>
      <c r="E22" s="5"/>
      <c r="F22" s="7"/>
      <c r="G22" s="4"/>
      <c r="H22" s="2"/>
      <c r="I22" s="2"/>
      <c r="J22" s="6" t="str">
        <f t="shared" si="0"/>
        <v/>
      </c>
    </row>
    <row r="23" spans="1:10" ht="16.5" customHeight="1">
      <c r="A23" s="4"/>
      <c r="B23" s="2"/>
      <c r="C23" s="2"/>
      <c r="D23" s="2"/>
      <c r="E23" s="5"/>
      <c r="F23" s="7"/>
      <c r="G23" s="4"/>
      <c r="H23" s="2"/>
      <c r="I23" s="2"/>
      <c r="J23" s="6" t="str">
        <f t="shared" si="0"/>
        <v/>
      </c>
    </row>
    <row r="24" spans="1:10" ht="16.5" customHeight="1">
      <c r="A24" s="4"/>
      <c r="B24" s="2"/>
      <c r="C24" s="2"/>
      <c r="D24" s="2"/>
      <c r="E24" s="5"/>
      <c r="F24" s="7"/>
      <c r="G24" s="4"/>
      <c r="H24" s="2"/>
      <c r="I24" s="2"/>
      <c r="J24" s="6" t="str">
        <f t="shared" si="0"/>
        <v/>
      </c>
    </row>
    <row r="25" spans="1:10" ht="16.5" customHeight="1">
      <c r="A25" s="4"/>
      <c r="B25" s="2"/>
      <c r="C25" s="2"/>
      <c r="D25" s="2"/>
      <c r="E25" s="5"/>
      <c r="F25" s="7"/>
      <c r="G25" s="4"/>
      <c r="H25" s="2"/>
      <c r="I25" s="2"/>
      <c r="J25" s="6" t="str">
        <f t="shared" si="0"/>
        <v/>
      </c>
    </row>
    <row r="26" spans="1:10" ht="16.5" customHeight="1">
      <c r="A26" s="4"/>
      <c r="B26" s="2"/>
      <c r="C26" s="2"/>
      <c r="D26" s="2"/>
      <c r="E26" s="5"/>
      <c r="F26" s="7"/>
      <c r="G26" s="4"/>
      <c r="H26" s="2"/>
      <c r="I26" s="2"/>
      <c r="J26" s="6" t="str">
        <f t="shared" si="0"/>
        <v/>
      </c>
    </row>
    <row r="27" spans="1:10" ht="16.5" customHeight="1">
      <c r="A27" s="4"/>
      <c r="B27" s="2"/>
      <c r="C27" s="2"/>
      <c r="D27" s="2"/>
      <c r="E27" s="5"/>
      <c r="F27" s="7"/>
      <c r="G27" s="4"/>
      <c r="H27" s="2"/>
      <c r="I27" s="2"/>
      <c r="J27" s="6" t="str">
        <f t="shared" si="0"/>
        <v/>
      </c>
    </row>
    <row r="28" spans="1:10" ht="16.5" customHeight="1">
      <c r="A28" s="4"/>
      <c r="B28" s="2"/>
      <c r="C28" s="2"/>
      <c r="D28" s="2"/>
      <c r="E28" s="5"/>
      <c r="F28" s="7"/>
      <c r="G28" s="4"/>
      <c r="H28" s="2"/>
      <c r="I28" s="2"/>
      <c r="J28" s="6" t="str">
        <f t="shared" si="0"/>
        <v/>
      </c>
    </row>
    <row r="29" spans="1:10" ht="16.5" customHeight="1">
      <c r="A29" s="4"/>
      <c r="B29" s="2"/>
      <c r="C29" s="2"/>
      <c r="D29" s="2"/>
      <c r="E29" s="5"/>
      <c r="F29" s="7"/>
      <c r="G29" s="4"/>
      <c r="H29" s="2"/>
      <c r="I29" s="2"/>
      <c r="J29" s="6" t="str">
        <f t="shared" si="0"/>
        <v/>
      </c>
    </row>
    <row r="30" spans="1:10" ht="16.5" customHeight="1">
      <c r="A30" s="4"/>
      <c r="B30" s="2"/>
      <c r="C30" s="2"/>
      <c r="D30" s="2"/>
      <c r="E30" s="5"/>
      <c r="F30" s="7"/>
      <c r="G30" s="4"/>
      <c r="H30" s="2"/>
      <c r="I30" s="2"/>
      <c r="J30" s="6" t="str">
        <f t="shared" si="0"/>
        <v/>
      </c>
    </row>
    <row r="31" spans="1:10" ht="16.5" customHeight="1">
      <c r="A31" s="4"/>
      <c r="B31" s="2"/>
      <c r="C31" s="2"/>
      <c r="D31" s="2"/>
      <c r="E31" s="5"/>
      <c r="F31" s="7"/>
      <c r="G31" s="4"/>
      <c r="H31" s="2"/>
      <c r="I31" s="2"/>
      <c r="J31" s="6" t="str">
        <f t="shared" si="0"/>
        <v/>
      </c>
    </row>
    <row r="32" spans="1:10" ht="16.5" customHeight="1">
      <c r="A32" s="4"/>
      <c r="B32" s="2"/>
      <c r="C32" s="2"/>
      <c r="D32" s="2"/>
      <c r="E32" s="5"/>
      <c r="F32" s="7"/>
      <c r="G32" s="4"/>
      <c r="H32" s="2"/>
      <c r="I32" s="2"/>
      <c r="J32" s="6" t="str">
        <f t="shared" si="0"/>
        <v/>
      </c>
    </row>
    <row r="33" spans="1:10" ht="16.5" customHeight="1">
      <c r="A33" s="4"/>
      <c r="B33" s="2"/>
      <c r="C33" s="2"/>
      <c r="D33" s="2"/>
      <c r="E33" s="5"/>
      <c r="F33" s="7"/>
      <c r="G33" s="4"/>
      <c r="H33" s="2"/>
      <c r="I33" s="2"/>
      <c r="J33" s="6" t="str">
        <f t="shared" si="0"/>
        <v/>
      </c>
    </row>
    <row r="34" spans="1:10" ht="16.5" customHeight="1">
      <c r="A34" s="4"/>
      <c r="B34" s="2"/>
      <c r="C34" s="2"/>
      <c r="D34" s="2"/>
      <c r="E34" s="5"/>
      <c r="F34" s="7"/>
      <c r="G34" s="4"/>
      <c r="H34" s="2"/>
      <c r="I34" s="2"/>
      <c r="J34" s="6" t="str">
        <f t="shared" si="0"/>
        <v/>
      </c>
    </row>
    <row r="35" spans="1:10" ht="16.5" customHeight="1">
      <c r="A35" s="4"/>
      <c r="B35" s="2"/>
      <c r="C35" s="2"/>
      <c r="D35" s="2"/>
      <c r="E35" s="5"/>
      <c r="F35" s="7"/>
      <c r="G35" s="4"/>
      <c r="H35" s="2"/>
      <c r="I35" s="2"/>
      <c r="J35" s="6" t="str">
        <f t="shared" si="0"/>
        <v/>
      </c>
    </row>
    <row r="36" spans="1:10" ht="16.5" customHeight="1">
      <c r="A36" s="4"/>
      <c r="B36" s="2"/>
      <c r="C36" s="2"/>
      <c r="D36" s="2"/>
      <c r="E36" s="5"/>
      <c r="F36" s="7"/>
      <c r="G36" s="4"/>
      <c r="H36" s="2"/>
      <c r="I36" s="2"/>
      <c r="J36" s="6" t="str">
        <f t="shared" si="0"/>
        <v/>
      </c>
    </row>
    <row r="37" spans="1:10" ht="16.5" customHeight="1">
      <c r="A37" s="4"/>
      <c r="B37" s="2"/>
      <c r="C37" s="2"/>
      <c r="D37" s="2"/>
      <c r="E37" s="5"/>
      <c r="F37" s="7"/>
      <c r="G37" s="4"/>
      <c r="H37" s="2"/>
      <c r="I37" s="2"/>
      <c r="J37" s="6" t="str">
        <f t="shared" si="0"/>
        <v/>
      </c>
    </row>
    <row r="38" spans="1:10" ht="16.5" customHeight="1">
      <c r="A38" s="4"/>
      <c r="B38" s="2"/>
      <c r="C38" s="2"/>
      <c r="D38" s="2"/>
      <c r="E38" s="5"/>
      <c r="F38" s="7"/>
      <c r="G38" s="4"/>
      <c r="H38" s="2"/>
      <c r="I38" s="2"/>
      <c r="J38" s="6" t="str">
        <f t="shared" ref="J38:J69" si="1">IF(A38="","",TEXT(A38,"yyyy-mm"))</f>
        <v/>
      </c>
    </row>
    <row r="39" spans="1:10" ht="16.5" customHeight="1">
      <c r="A39" s="4"/>
      <c r="B39" s="2"/>
      <c r="C39" s="2"/>
      <c r="D39" s="2"/>
      <c r="E39" s="5"/>
      <c r="F39" s="7"/>
      <c r="G39" s="4"/>
      <c r="H39" s="2"/>
      <c r="I39" s="2"/>
      <c r="J39" s="6" t="str">
        <f t="shared" si="1"/>
        <v/>
      </c>
    </row>
    <row r="40" spans="1:10" ht="16.5" customHeight="1">
      <c r="A40" s="4"/>
      <c r="B40" s="2"/>
      <c r="C40" s="2"/>
      <c r="D40" s="2"/>
      <c r="E40" s="5"/>
      <c r="F40" s="7"/>
      <c r="G40" s="4"/>
      <c r="H40" s="2"/>
      <c r="I40" s="2"/>
      <c r="J40" s="6" t="str">
        <f t="shared" si="1"/>
        <v/>
      </c>
    </row>
    <row r="41" spans="1:10" ht="16.5" customHeight="1">
      <c r="A41" s="4"/>
      <c r="B41" s="2"/>
      <c r="C41" s="2"/>
      <c r="D41" s="2"/>
      <c r="E41" s="5"/>
      <c r="F41" s="7"/>
      <c r="G41" s="4"/>
      <c r="H41" s="2"/>
      <c r="I41" s="2"/>
      <c r="J41" s="6" t="str">
        <f t="shared" si="1"/>
        <v/>
      </c>
    </row>
    <row r="42" spans="1:10" ht="16.5" customHeight="1">
      <c r="A42" s="4"/>
      <c r="B42" s="2"/>
      <c r="C42" s="2"/>
      <c r="D42" s="2"/>
      <c r="E42" s="5"/>
      <c r="F42" s="7"/>
      <c r="G42" s="4"/>
      <c r="H42" s="2"/>
      <c r="I42" s="2"/>
      <c r="J42" s="6" t="str">
        <f t="shared" si="1"/>
        <v/>
      </c>
    </row>
    <row r="43" spans="1:10" ht="16.5" customHeight="1">
      <c r="A43" s="4"/>
      <c r="B43" s="2"/>
      <c r="C43" s="2"/>
      <c r="D43" s="2"/>
      <c r="E43" s="5"/>
      <c r="F43" s="7"/>
      <c r="G43" s="4"/>
      <c r="H43" s="2"/>
      <c r="I43" s="2"/>
      <c r="J43" s="6" t="str">
        <f t="shared" si="1"/>
        <v/>
      </c>
    </row>
    <row r="44" spans="1:10" ht="16.5" customHeight="1">
      <c r="A44" s="4"/>
      <c r="B44" s="2"/>
      <c r="C44" s="2"/>
      <c r="D44" s="2"/>
      <c r="E44" s="5"/>
      <c r="F44" s="7"/>
      <c r="G44" s="4"/>
      <c r="H44" s="2"/>
      <c r="I44" s="2"/>
      <c r="J44" s="6" t="str">
        <f t="shared" si="1"/>
        <v/>
      </c>
    </row>
    <row r="45" spans="1:10" ht="16.5" customHeight="1">
      <c r="A45" s="4"/>
      <c r="B45" s="2"/>
      <c r="C45" s="2"/>
      <c r="D45" s="2"/>
      <c r="E45" s="5"/>
      <c r="F45" s="7"/>
      <c r="G45" s="4"/>
      <c r="H45" s="2"/>
      <c r="I45" s="2"/>
      <c r="J45" s="6" t="str">
        <f t="shared" si="1"/>
        <v/>
      </c>
    </row>
    <row r="46" spans="1:10" ht="16.5" customHeight="1">
      <c r="A46" s="4"/>
      <c r="B46" s="2"/>
      <c r="C46" s="2"/>
      <c r="D46" s="2"/>
      <c r="E46" s="5"/>
      <c r="F46" s="7"/>
      <c r="G46" s="4"/>
      <c r="H46" s="2"/>
      <c r="I46" s="2"/>
      <c r="J46" s="6" t="str">
        <f t="shared" si="1"/>
        <v/>
      </c>
    </row>
    <row r="47" spans="1:10" ht="16.5" customHeight="1">
      <c r="A47" s="4"/>
      <c r="B47" s="2"/>
      <c r="C47" s="2"/>
      <c r="D47" s="2"/>
      <c r="E47" s="5"/>
      <c r="F47" s="7"/>
      <c r="G47" s="4"/>
      <c r="H47" s="2"/>
      <c r="I47" s="2"/>
      <c r="J47" s="6" t="str">
        <f t="shared" si="1"/>
        <v/>
      </c>
    </row>
    <row r="48" spans="1:10" ht="16.5" customHeight="1">
      <c r="A48" s="4"/>
      <c r="B48" s="2"/>
      <c r="C48" s="2"/>
      <c r="D48" s="2"/>
      <c r="E48" s="5"/>
      <c r="F48" s="7"/>
      <c r="G48" s="4"/>
      <c r="H48" s="2"/>
      <c r="I48" s="2"/>
      <c r="J48" s="6" t="str">
        <f t="shared" si="1"/>
        <v/>
      </c>
    </row>
    <row r="49" spans="1:10" ht="16.5" customHeight="1">
      <c r="A49" s="4"/>
      <c r="B49" s="2"/>
      <c r="C49" s="2"/>
      <c r="D49" s="2"/>
      <c r="E49" s="5"/>
      <c r="F49" s="7"/>
      <c r="G49" s="4"/>
      <c r="H49" s="2"/>
      <c r="I49" s="2"/>
      <c r="J49" s="6" t="str">
        <f t="shared" si="1"/>
        <v/>
      </c>
    </row>
    <row r="50" spans="1:10" ht="16.5" customHeight="1">
      <c r="A50" s="4"/>
      <c r="B50" s="2"/>
      <c r="C50" s="2"/>
      <c r="D50" s="2"/>
      <c r="E50" s="5"/>
      <c r="F50" s="7"/>
      <c r="G50" s="4"/>
      <c r="H50" s="2"/>
      <c r="I50" s="2"/>
      <c r="J50" s="6" t="str">
        <f t="shared" si="1"/>
        <v/>
      </c>
    </row>
    <row r="51" spans="1:10" ht="16.5" customHeight="1">
      <c r="A51" s="4"/>
      <c r="B51" s="2"/>
      <c r="C51" s="2"/>
      <c r="D51" s="2"/>
      <c r="E51" s="5"/>
      <c r="F51" s="7"/>
      <c r="G51" s="4"/>
      <c r="H51" s="2"/>
      <c r="I51" s="2"/>
      <c r="J51" s="6" t="str">
        <f t="shared" si="1"/>
        <v/>
      </c>
    </row>
    <row r="52" spans="1:10" ht="16.5" customHeight="1">
      <c r="A52" s="4"/>
      <c r="B52" s="2"/>
      <c r="C52" s="2"/>
      <c r="D52" s="2"/>
      <c r="E52" s="5"/>
      <c r="F52" s="7"/>
      <c r="G52" s="4"/>
      <c r="H52" s="2"/>
      <c r="I52" s="2"/>
      <c r="J52" s="6" t="str">
        <f t="shared" si="1"/>
        <v/>
      </c>
    </row>
    <row r="53" spans="1:10" ht="16.5" customHeight="1">
      <c r="A53" s="4"/>
      <c r="B53" s="2"/>
      <c r="C53" s="2"/>
      <c r="D53" s="2"/>
      <c r="E53" s="5"/>
      <c r="F53" s="7"/>
      <c r="G53" s="4"/>
      <c r="H53" s="2"/>
      <c r="I53" s="2"/>
      <c r="J53" s="6" t="str">
        <f t="shared" si="1"/>
        <v/>
      </c>
    </row>
    <row r="54" spans="1:10" ht="16.5" customHeight="1">
      <c r="A54" s="4"/>
      <c r="B54" s="2"/>
      <c r="C54" s="2"/>
      <c r="D54" s="2"/>
      <c r="E54" s="5"/>
      <c r="F54" s="7"/>
      <c r="G54" s="4"/>
      <c r="H54" s="2"/>
      <c r="I54" s="2"/>
      <c r="J54" s="6" t="str">
        <f t="shared" si="1"/>
        <v/>
      </c>
    </row>
    <row r="55" spans="1:10" ht="16.5" customHeight="1">
      <c r="A55" s="4"/>
      <c r="B55" s="2"/>
      <c r="C55" s="2"/>
      <c r="D55" s="2"/>
      <c r="E55" s="5"/>
      <c r="F55" s="7"/>
      <c r="G55" s="4"/>
      <c r="H55" s="2"/>
      <c r="I55" s="2"/>
      <c r="J55" s="6" t="str">
        <f t="shared" si="1"/>
        <v/>
      </c>
    </row>
    <row r="56" spans="1:10" ht="16.5" customHeight="1">
      <c r="A56" s="4"/>
      <c r="B56" s="2"/>
      <c r="C56" s="2"/>
      <c r="D56" s="2"/>
      <c r="E56" s="5"/>
      <c r="F56" s="7"/>
      <c r="G56" s="4"/>
      <c r="H56" s="2"/>
      <c r="I56" s="2"/>
      <c r="J56" s="6" t="str">
        <f t="shared" si="1"/>
        <v/>
      </c>
    </row>
    <row r="57" spans="1:10" ht="16.5" customHeight="1">
      <c r="A57" s="4"/>
      <c r="B57" s="2"/>
      <c r="C57" s="2"/>
      <c r="D57" s="2"/>
      <c r="E57" s="5"/>
      <c r="F57" s="7"/>
      <c r="G57" s="4"/>
      <c r="H57" s="2"/>
      <c r="I57" s="2"/>
      <c r="J57" s="6" t="str">
        <f t="shared" si="1"/>
        <v/>
      </c>
    </row>
    <row r="58" spans="1:10" ht="16.5" customHeight="1">
      <c r="A58" s="4"/>
      <c r="B58" s="2"/>
      <c r="C58" s="2"/>
      <c r="D58" s="2"/>
      <c r="E58" s="5"/>
      <c r="F58" s="7"/>
      <c r="G58" s="4"/>
      <c r="H58" s="2"/>
      <c r="I58" s="2"/>
      <c r="J58" s="6" t="str">
        <f t="shared" si="1"/>
        <v/>
      </c>
    </row>
    <row r="59" spans="1:10" ht="16.5" customHeight="1">
      <c r="A59" s="4"/>
      <c r="B59" s="2"/>
      <c r="C59" s="2"/>
      <c r="D59" s="2"/>
      <c r="E59" s="5"/>
      <c r="F59" s="7"/>
      <c r="G59" s="4"/>
      <c r="H59" s="2"/>
      <c r="I59" s="2"/>
      <c r="J59" s="6" t="str">
        <f t="shared" si="1"/>
        <v/>
      </c>
    </row>
    <row r="60" spans="1:10" ht="16.5" customHeight="1">
      <c r="A60" s="4"/>
      <c r="B60" s="2"/>
      <c r="C60" s="2"/>
      <c r="D60" s="2"/>
      <c r="E60" s="5"/>
      <c r="F60" s="7"/>
      <c r="G60" s="4"/>
      <c r="H60" s="2"/>
      <c r="I60" s="2"/>
      <c r="J60" s="6" t="str">
        <f t="shared" si="1"/>
        <v/>
      </c>
    </row>
    <row r="61" spans="1:10" ht="16.5" customHeight="1">
      <c r="A61" s="4"/>
      <c r="B61" s="2"/>
      <c r="C61" s="2"/>
      <c r="D61" s="2"/>
      <c r="E61" s="5"/>
      <c r="F61" s="7"/>
      <c r="G61" s="4"/>
      <c r="H61" s="2"/>
      <c r="I61" s="2"/>
      <c r="J61" s="6" t="str">
        <f t="shared" si="1"/>
        <v/>
      </c>
    </row>
    <row r="62" spans="1:10" ht="16.5" customHeight="1">
      <c r="A62" s="4"/>
      <c r="B62" s="2"/>
      <c r="C62" s="2"/>
      <c r="D62" s="2"/>
      <c r="E62" s="5"/>
      <c r="F62" s="7"/>
      <c r="G62" s="4"/>
      <c r="H62" s="2"/>
      <c r="I62" s="2"/>
      <c r="J62" s="6" t="str">
        <f t="shared" si="1"/>
        <v/>
      </c>
    </row>
    <row r="63" spans="1:10" ht="16.5" customHeight="1">
      <c r="A63" s="4"/>
      <c r="B63" s="2"/>
      <c r="C63" s="2"/>
      <c r="D63" s="2"/>
      <c r="E63" s="5"/>
      <c r="F63" s="7"/>
      <c r="G63" s="4"/>
      <c r="H63" s="2"/>
      <c r="I63" s="2"/>
      <c r="J63" s="6" t="str">
        <f t="shared" si="1"/>
        <v/>
      </c>
    </row>
    <row r="64" spans="1:10" ht="16.5" customHeight="1">
      <c r="A64" s="4"/>
      <c r="B64" s="2"/>
      <c r="C64" s="2"/>
      <c r="D64" s="2"/>
      <c r="E64" s="5"/>
      <c r="F64" s="7"/>
      <c r="G64" s="4"/>
      <c r="H64" s="2"/>
      <c r="I64" s="2"/>
      <c r="J64" s="6" t="str">
        <f t="shared" si="1"/>
        <v/>
      </c>
    </row>
    <row r="65" spans="1:10" ht="16.5" customHeight="1">
      <c r="A65" s="4"/>
      <c r="B65" s="2"/>
      <c r="C65" s="2"/>
      <c r="D65" s="2"/>
      <c r="E65" s="5"/>
      <c r="F65" s="7"/>
      <c r="G65" s="4"/>
      <c r="H65" s="2"/>
      <c r="I65" s="2"/>
      <c r="J65" s="6" t="str">
        <f t="shared" si="1"/>
        <v/>
      </c>
    </row>
    <row r="66" spans="1:10" ht="16.5" customHeight="1">
      <c r="A66" s="4"/>
      <c r="B66" s="2"/>
      <c r="C66" s="2"/>
      <c r="D66" s="2"/>
      <c r="E66" s="5"/>
      <c r="F66" s="7"/>
      <c r="G66" s="4"/>
      <c r="H66" s="2"/>
      <c r="I66" s="2"/>
      <c r="J66" s="6" t="str">
        <f t="shared" si="1"/>
        <v/>
      </c>
    </row>
    <row r="67" spans="1:10" ht="16.5" customHeight="1">
      <c r="A67" s="4"/>
      <c r="B67" s="2"/>
      <c r="C67" s="2"/>
      <c r="D67" s="2"/>
      <c r="E67" s="5"/>
      <c r="F67" s="7"/>
      <c r="G67" s="4"/>
      <c r="H67" s="2"/>
      <c r="I67" s="2"/>
      <c r="J67" s="6" t="str">
        <f t="shared" si="1"/>
        <v/>
      </c>
    </row>
    <row r="68" spans="1:10" ht="16.5" customHeight="1">
      <c r="A68" s="4"/>
      <c r="B68" s="2"/>
      <c r="C68" s="2"/>
      <c r="D68" s="2"/>
      <c r="E68" s="5"/>
      <c r="F68" s="7"/>
      <c r="G68" s="4"/>
      <c r="H68" s="2"/>
      <c r="I68" s="2"/>
      <c r="J68" s="6" t="str">
        <f t="shared" si="1"/>
        <v/>
      </c>
    </row>
    <row r="69" spans="1:10" ht="16.5" customHeight="1">
      <c r="A69" s="4"/>
      <c r="B69" s="2"/>
      <c r="C69" s="2"/>
      <c r="D69" s="2"/>
      <c r="E69" s="5"/>
      <c r="F69" s="7"/>
      <c r="G69" s="4"/>
      <c r="H69" s="2"/>
      <c r="I69" s="2"/>
      <c r="J69" s="6" t="str">
        <f t="shared" si="1"/>
        <v/>
      </c>
    </row>
    <row r="70" spans="1:10" ht="16.5" customHeight="1">
      <c r="A70" s="4"/>
      <c r="B70" s="2"/>
      <c r="C70" s="2"/>
      <c r="D70" s="2"/>
      <c r="E70" s="5"/>
      <c r="F70" s="7"/>
      <c r="G70" s="4"/>
      <c r="H70" s="2"/>
      <c r="I70" s="2"/>
      <c r="J70" s="6" t="str">
        <f t="shared" ref="J70:J101" si="2">IF(A70="","",TEXT(A70,"yyyy-mm"))</f>
        <v/>
      </c>
    </row>
    <row r="71" spans="1:10" ht="16.5" customHeight="1">
      <c r="A71" s="4"/>
      <c r="B71" s="2"/>
      <c r="C71" s="2"/>
      <c r="D71" s="2"/>
      <c r="E71" s="5"/>
      <c r="F71" s="7"/>
      <c r="G71" s="4"/>
      <c r="H71" s="2"/>
      <c r="I71" s="2"/>
      <c r="J71" s="6" t="str">
        <f t="shared" si="2"/>
        <v/>
      </c>
    </row>
    <row r="72" spans="1:10" ht="16.5" customHeight="1">
      <c r="A72" s="4"/>
      <c r="B72" s="2"/>
      <c r="C72" s="2"/>
      <c r="D72" s="2"/>
      <c r="E72" s="5"/>
      <c r="F72" s="7"/>
      <c r="G72" s="4"/>
      <c r="H72" s="2"/>
      <c r="I72" s="2"/>
      <c r="J72" s="6" t="str">
        <f t="shared" si="2"/>
        <v/>
      </c>
    </row>
    <row r="73" spans="1:10" ht="16.5" customHeight="1">
      <c r="A73" s="4"/>
      <c r="B73" s="2"/>
      <c r="C73" s="2"/>
      <c r="D73" s="2"/>
      <c r="E73" s="5"/>
      <c r="F73" s="7"/>
      <c r="G73" s="4"/>
      <c r="H73" s="2"/>
      <c r="I73" s="2"/>
      <c r="J73" s="6" t="str">
        <f t="shared" si="2"/>
        <v/>
      </c>
    </row>
    <row r="74" spans="1:10" ht="16.5" customHeight="1">
      <c r="A74" s="4"/>
      <c r="B74" s="2"/>
      <c r="C74" s="2"/>
      <c r="D74" s="2"/>
      <c r="E74" s="5"/>
      <c r="F74" s="7"/>
      <c r="G74" s="4"/>
      <c r="H74" s="2"/>
      <c r="I74" s="2"/>
      <c r="J74" s="6" t="str">
        <f t="shared" si="2"/>
        <v/>
      </c>
    </row>
    <row r="75" spans="1:10" ht="16.5" customHeight="1">
      <c r="A75" s="4"/>
      <c r="B75" s="2"/>
      <c r="C75" s="2"/>
      <c r="D75" s="2"/>
      <c r="E75" s="5"/>
      <c r="F75" s="7"/>
      <c r="G75" s="4"/>
      <c r="H75" s="2"/>
      <c r="I75" s="2"/>
      <c r="J75" s="6" t="str">
        <f t="shared" si="2"/>
        <v/>
      </c>
    </row>
    <row r="76" spans="1:10" ht="16.5" customHeight="1">
      <c r="A76" s="4"/>
      <c r="B76" s="2"/>
      <c r="C76" s="2"/>
      <c r="D76" s="2"/>
      <c r="E76" s="5"/>
      <c r="F76" s="7"/>
      <c r="G76" s="4"/>
      <c r="H76" s="2"/>
      <c r="I76" s="2"/>
      <c r="J76" s="6" t="str">
        <f t="shared" si="2"/>
        <v/>
      </c>
    </row>
    <row r="77" spans="1:10" ht="16.5" customHeight="1">
      <c r="A77" s="4"/>
      <c r="B77" s="2"/>
      <c r="C77" s="2"/>
      <c r="D77" s="2"/>
      <c r="E77" s="5"/>
      <c r="F77" s="7"/>
      <c r="G77" s="4"/>
      <c r="H77" s="2"/>
      <c r="I77" s="2"/>
      <c r="J77" s="6" t="str">
        <f t="shared" si="2"/>
        <v/>
      </c>
    </row>
    <row r="78" spans="1:10" ht="16.5" customHeight="1">
      <c r="A78" s="4"/>
      <c r="B78" s="2"/>
      <c r="C78" s="2"/>
      <c r="D78" s="2"/>
      <c r="E78" s="5"/>
      <c r="F78" s="7"/>
      <c r="G78" s="4"/>
      <c r="H78" s="2"/>
      <c r="I78" s="2"/>
      <c r="J78" s="6" t="str">
        <f t="shared" si="2"/>
        <v/>
      </c>
    </row>
    <row r="79" spans="1:10" ht="16.5" customHeight="1">
      <c r="A79" s="4"/>
      <c r="B79" s="2"/>
      <c r="C79" s="2"/>
      <c r="D79" s="2"/>
      <c r="E79" s="5"/>
      <c r="F79" s="7"/>
      <c r="G79" s="4"/>
      <c r="H79" s="2"/>
      <c r="I79" s="2"/>
      <c r="J79" s="6" t="str">
        <f t="shared" si="2"/>
        <v/>
      </c>
    </row>
    <row r="80" spans="1:10" ht="16.5" customHeight="1">
      <c r="A80" s="4"/>
      <c r="B80" s="2"/>
      <c r="C80" s="2"/>
      <c r="D80" s="2"/>
      <c r="E80" s="5"/>
      <c r="F80" s="7"/>
      <c r="G80" s="4"/>
      <c r="H80" s="2"/>
      <c r="I80" s="2"/>
      <c r="J80" s="6" t="str">
        <f t="shared" si="2"/>
        <v/>
      </c>
    </row>
    <row r="81" spans="1:10" ht="16.5" customHeight="1">
      <c r="A81" s="4"/>
      <c r="B81" s="2"/>
      <c r="C81" s="2"/>
      <c r="D81" s="2"/>
      <c r="E81" s="5"/>
      <c r="F81" s="7"/>
      <c r="G81" s="4"/>
      <c r="H81" s="2"/>
      <c r="I81" s="2"/>
      <c r="J81" s="6" t="str">
        <f t="shared" si="2"/>
        <v/>
      </c>
    </row>
    <row r="82" spans="1:10" ht="16.5" customHeight="1">
      <c r="A82" s="4"/>
      <c r="B82" s="2"/>
      <c r="C82" s="2"/>
      <c r="D82" s="2"/>
      <c r="E82" s="5"/>
      <c r="F82" s="7"/>
      <c r="G82" s="4"/>
      <c r="H82" s="2"/>
      <c r="I82" s="2"/>
      <c r="J82" s="6" t="str">
        <f t="shared" si="2"/>
        <v/>
      </c>
    </row>
    <row r="83" spans="1:10" ht="16.5" customHeight="1">
      <c r="A83" s="4"/>
      <c r="B83" s="2"/>
      <c r="C83" s="2"/>
      <c r="D83" s="2"/>
      <c r="E83" s="5"/>
      <c r="F83" s="7"/>
      <c r="G83" s="4"/>
      <c r="H83" s="2"/>
      <c r="I83" s="2"/>
      <c r="J83" s="6" t="str">
        <f t="shared" si="2"/>
        <v/>
      </c>
    </row>
    <row r="84" spans="1:10" ht="16.5" customHeight="1">
      <c r="A84" s="4"/>
      <c r="B84" s="2"/>
      <c r="C84" s="2"/>
      <c r="D84" s="2"/>
      <c r="E84" s="5"/>
      <c r="F84" s="7"/>
      <c r="G84" s="4"/>
      <c r="H84" s="2"/>
      <c r="I84" s="2"/>
      <c r="J84" s="6" t="str">
        <f t="shared" si="2"/>
        <v/>
      </c>
    </row>
    <row r="85" spans="1:10" ht="16.5" customHeight="1">
      <c r="A85" s="4"/>
      <c r="B85" s="2"/>
      <c r="C85" s="2"/>
      <c r="D85" s="2"/>
      <c r="E85" s="5"/>
      <c r="F85" s="7"/>
      <c r="G85" s="4"/>
      <c r="H85" s="2"/>
      <c r="I85" s="2"/>
      <c r="J85" s="6" t="str">
        <f t="shared" si="2"/>
        <v/>
      </c>
    </row>
    <row r="86" spans="1:10" ht="16.5" customHeight="1">
      <c r="A86" s="4"/>
      <c r="B86" s="2"/>
      <c r="C86" s="2"/>
      <c r="D86" s="2"/>
      <c r="E86" s="5"/>
      <c r="F86" s="7"/>
      <c r="G86" s="4"/>
      <c r="H86" s="2"/>
      <c r="I86" s="2"/>
      <c r="J86" s="6" t="str">
        <f t="shared" si="2"/>
        <v/>
      </c>
    </row>
    <row r="87" spans="1:10" ht="16.5" customHeight="1">
      <c r="A87" s="4"/>
      <c r="B87" s="2"/>
      <c r="C87" s="2"/>
      <c r="D87" s="2"/>
      <c r="E87" s="5"/>
      <c r="F87" s="7"/>
      <c r="G87" s="4"/>
      <c r="H87" s="2"/>
      <c r="I87" s="2"/>
      <c r="J87" s="6" t="str">
        <f t="shared" si="2"/>
        <v/>
      </c>
    </row>
    <row r="88" spans="1:10" ht="16.5" customHeight="1">
      <c r="A88" s="4"/>
      <c r="B88" s="2"/>
      <c r="C88" s="2"/>
      <c r="D88" s="2"/>
      <c r="E88" s="5"/>
      <c r="F88" s="7"/>
      <c r="G88" s="4"/>
      <c r="H88" s="2"/>
      <c r="I88" s="2"/>
      <c r="J88" s="6" t="str">
        <f t="shared" si="2"/>
        <v/>
      </c>
    </row>
    <row r="89" spans="1:10" ht="16.5" customHeight="1">
      <c r="A89" s="4"/>
      <c r="B89" s="2"/>
      <c r="C89" s="2"/>
      <c r="D89" s="2"/>
      <c r="E89" s="5"/>
      <c r="F89" s="7"/>
      <c r="G89" s="4"/>
      <c r="H89" s="2"/>
      <c r="I89" s="2"/>
      <c r="J89" s="6" t="str">
        <f t="shared" si="2"/>
        <v/>
      </c>
    </row>
    <row r="90" spans="1:10" ht="16.5" customHeight="1">
      <c r="A90" s="4"/>
      <c r="B90" s="2"/>
      <c r="C90" s="2"/>
      <c r="D90" s="2"/>
      <c r="E90" s="5"/>
      <c r="F90" s="7"/>
      <c r="G90" s="4"/>
      <c r="H90" s="2"/>
      <c r="I90" s="2"/>
      <c r="J90" s="6" t="str">
        <f t="shared" si="2"/>
        <v/>
      </c>
    </row>
    <row r="91" spans="1:10" ht="16.5" customHeight="1">
      <c r="A91" s="4"/>
      <c r="B91" s="2"/>
      <c r="C91" s="2"/>
      <c r="D91" s="2"/>
      <c r="E91" s="5"/>
      <c r="F91" s="7"/>
      <c r="G91" s="4"/>
      <c r="H91" s="2"/>
      <c r="I91" s="2"/>
      <c r="J91" s="6" t="str">
        <f t="shared" si="2"/>
        <v/>
      </c>
    </row>
    <row r="92" spans="1:10" ht="16.5" customHeight="1">
      <c r="A92" s="4"/>
      <c r="B92" s="2"/>
      <c r="C92" s="2"/>
      <c r="D92" s="2"/>
      <c r="E92" s="5"/>
      <c r="F92" s="7"/>
      <c r="G92" s="4"/>
      <c r="H92" s="2"/>
      <c r="I92" s="2"/>
      <c r="J92" s="6" t="str">
        <f t="shared" si="2"/>
        <v/>
      </c>
    </row>
    <row r="93" spans="1:10" ht="16.5" customHeight="1">
      <c r="A93" s="4"/>
      <c r="B93" s="2"/>
      <c r="C93" s="2"/>
      <c r="D93" s="2"/>
      <c r="E93" s="5"/>
      <c r="F93" s="7"/>
      <c r="G93" s="4"/>
      <c r="H93" s="2"/>
      <c r="I93" s="2"/>
      <c r="J93" s="6" t="str">
        <f t="shared" si="2"/>
        <v/>
      </c>
    </row>
    <row r="94" spans="1:10" ht="16.5" customHeight="1">
      <c r="A94" s="4"/>
      <c r="B94" s="2"/>
      <c r="C94" s="2"/>
      <c r="D94" s="2"/>
      <c r="E94" s="5"/>
      <c r="F94" s="7"/>
      <c r="G94" s="4"/>
      <c r="H94" s="2"/>
      <c r="I94" s="2"/>
      <c r="J94" s="6" t="str">
        <f t="shared" si="2"/>
        <v/>
      </c>
    </row>
    <row r="95" spans="1:10" ht="16.5" customHeight="1">
      <c r="A95" s="4"/>
      <c r="B95" s="2"/>
      <c r="C95" s="2"/>
      <c r="D95" s="2"/>
      <c r="E95" s="5"/>
      <c r="F95" s="7"/>
      <c r="G95" s="4"/>
      <c r="H95" s="2"/>
      <c r="I95" s="2"/>
      <c r="J95" s="6" t="str">
        <f t="shared" si="2"/>
        <v/>
      </c>
    </row>
    <row r="96" spans="1:10" ht="16.5" customHeight="1">
      <c r="A96" s="4"/>
      <c r="B96" s="2"/>
      <c r="C96" s="2"/>
      <c r="D96" s="2"/>
      <c r="E96" s="5"/>
      <c r="F96" s="7"/>
      <c r="G96" s="4"/>
      <c r="H96" s="2"/>
      <c r="I96" s="2"/>
      <c r="J96" s="6" t="str">
        <f t="shared" si="2"/>
        <v/>
      </c>
    </row>
    <row r="97" spans="1:10" ht="16.5" customHeight="1">
      <c r="A97" s="4"/>
      <c r="B97" s="2"/>
      <c r="C97" s="2"/>
      <c r="D97" s="2"/>
      <c r="E97" s="5"/>
      <c r="F97" s="7"/>
      <c r="G97" s="4"/>
      <c r="H97" s="2"/>
      <c r="I97" s="2"/>
      <c r="J97" s="6" t="str">
        <f t="shared" si="2"/>
        <v/>
      </c>
    </row>
    <row r="98" spans="1:10" ht="16.5" customHeight="1">
      <c r="A98" s="4"/>
      <c r="B98" s="2"/>
      <c r="C98" s="2"/>
      <c r="D98" s="2"/>
      <c r="E98" s="5"/>
      <c r="F98" s="7"/>
      <c r="G98" s="4"/>
      <c r="H98" s="2"/>
      <c r="I98" s="2"/>
      <c r="J98" s="6" t="str">
        <f t="shared" si="2"/>
        <v/>
      </c>
    </row>
    <row r="99" spans="1:10" ht="16.5" customHeight="1">
      <c r="A99" s="4"/>
      <c r="B99" s="2"/>
      <c r="C99" s="2"/>
      <c r="D99" s="2"/>
      <c r="E99" s="5"/>
      <c r="F99" s="7"/>
      <c r="G99" s="4"/>
      <c r="H99" s="2"/>
      <c r="I99" s="2"/>
      <c r="J99" s="6" t="str">
        <f t="shared" si="2"/>
        <v/>
      </c>
    </row>
    <row r="100" spans="1:10" ht="16.5" customHeight="1">
      <c r="A100" s="4"/>
      <c r="B100" s="2"/>
      <c r="C100" s="2"/>
      <c r="D100" s="2"/>
      <c r="E100" s="5"/>
      <c r="F100" s="7"/>
      <c r="G100" s="4"/>
      <c r="H100" s="2"/>
      <c r="I100" s="2"/>
      <c r="J100" s="6" t="str">
        <f t="shared" si="2"/>
        <v/>
      </c>
    </row>
    <row r="101" spans="1:10" ht="16.5" customHeight="1">
      <c r="A101" s="4"/>
      <c r="B101" s="2"/>
      <c r="C101" s="2"/>
      <c r="D101" s="2"/>
      <c r="E101" s="5"/>
      <c r="F101" s="7"/>
      <c r="G101" s="4"/>
      <c r="H101" s="2"/>
      <c r="I101" s="2"/>
      <c r="J101" s="6" t="str">
        <f t="shared" si="2"/>
        <v/>
      </c>
    </row>
    <row r="102" spans="1:10" ht="16.5" customHeight="1">
      <c r="A102" s="4"/>
      <c r="B102" s="2"/>
      <c r="C102" s="2"/>
      <c r="D102" s="2"/>
      <c r="E102" s="5"/>
      <c r="F102" s="7"/>
      <c r="G102" s="4"/>
      <c r="H102" s="2"/>
      <c r="I102" s="2"/>
      <c r="J102" s="6" t="str">
        <f t="shared" ref="J102:J133" si="3">IF(A102="","",TEXT(A102,"yyyy-mm"))</f>
        <v/>
      </c>
    </row>
    <row r="103" spans="1:10" ht="16.5" customHeight="1">
      <c r="A103" s="4"/>
      <c r="B103" s="2"/>
      <c r="C103" s="2"/>
      <c r="D103" s="2"/>
      <c r="E103" s="5"/>
      <c r="F103" s="7"/>
      <c r="G103" s="4"/>
      <c r="H103" s="2"/>
      <c r="I103" s="2"/>
      <c r="J103" s="6" t="str">
        <f t="shared" si="3"/>
        <v/>
      </c>
    </row>
    <row r="104" spans="1:10" ht="16.5" customHeight="1">
      <c r="A104" s="4"/>
      <c r="B104" s="2"/>
      <c r="C104" s="2"/>
      <c r="D104" s="2"/>
      <c r="E104" s="5"/>
      <c r="F104" s="7"/>
      <c r="G104" s="4"/>
      <c r="H104" s="2"/>
      <c r="I104" s="2"/>
      <c r="J104" s="6" t="str">
        <f t="shared" si="3"/>
        <v/>
      </c>
    </row>
    <row r="105" spans="1:10" ht="16.5" customHeight="1">
      <c r="A105" s="4"/>
      <c r="B105" s="2"/>
      <c r="C105" s="2"/>
      <c r="D105" s="2"/>
      <c r="E105" s="5"/>
      <c r="F105" s="7"/>
      <c r="G105" s="4"/>
      <c r="H105" s="2"/>
      <c r="I105" s="2"/>
      <c r="J105" s="6" t="str">
        <f t="shared" si="3"/>
        <v/>
      </c>
    </row>
    <row r="106" spans="1:10" ht="16.5" customHeight="1">
      <c r="A106" s="4"/>
      <c r="B106" s="2"/>
      <c r="C106" s="2"/>
      <c r="D106" s="2"/>
      <c r="E106" s="5"/>
      <c r="F106" s="7"/>
      <c r="G106" s="4"/>
      <c r="H106" s="2"/>
      <c r="I106" s="2"/>
      <c r="J106" s="6" t="str">
        <f t="shared" si="3"/>
        <v/>
      </c>
    </row>
    <row r="107" spans="1:10" ht="16.5" customHeight="1">
      <c r="A107" s="4"/>
      <c r="B107" s="2"/>
      <c r="C107" s="2"/>
      <c r="D107" s="2"/>
      <c r="E107" s="5"/>
      <c r="F107" s="7"/>
      <c r="G107" s="4"/>
      <c r="H107" s="2"/>
      <c r="I107" s="2"/>
      <c r="J107" s="6" t="str">
        <f t="shared" si="3"/>
        <v/>
      </c>
    </row>
    <row r="108" spans="1:10" ht="16.5" customHeight="1">
      <c r="A108" s="4"/>
      <c r="B108" s="2"/>
      <c r="C108" s="2"/>
      <c r="D108" s="2"/>
      <c r="E108" s="5"/>
      <c r="F108" s="7"/>
      <c r="G108" s="4"/>
      <c r="H108" s="2"/>
      <c r="I108" s="2"/>
      <c r="J108" s="6" t="str">
        <f t="shared" si="3"/>
        <v/>
      </c>
    </row>
    <row r="109" spans="1:10" ht="16.5" customHeight="1">
      <c r="A109" s="4"/>
      <c r="B109" s="2"/>
      <c r="C109" s="2"/>
      <c r="D109" s="2"/>
      <c r="E109" s="5"/>
      <c r="F109" s="7"/>
      <c r="G109" s="4"/>
      <c r="H109" s="2"/>
      <c r="I109" s="2"/>
      <c r="J109" s="6" t="str">
        <f t="shared" si="3"/>
        <v/>
      </c>
    </row>
    <row r="110" spans="1:10" ht="16.5" customHeight="1">
      <c r="A110" s="4"/>
      <c r="B110" s="2"/>
      <c r="C110" s="2"/>
      <c r="D110" s="2"/>
      <c r="E110" s="5"/>
      <c r="F110" s="7"/>
      <c r="G110" s="4"/>
      <c r="H110" s="2"/>
      <c r="I110" s="2"/>
      <c r="J110" s="6" t="str">
        <f t="shared" si="3"/>
        <v/>
      </c>
    </row>
    <row r="111" spans="1:10" ht="16.5" customHeight="1">
      <c r="A111" s="4"/>
      <c r="B111" s="2"/>
      <c r="C111" s="2"/>
      <c r="D111" s="2"/>
      <c r="E111" s="5"/>
      <c r="F111" s="7"/>
      <c r="G111" s="4"/>
      <c r="H111" s="2"/>
      <c r="I111" s="2"/>
      <c r="J111" s="6" t="str">
        <f t="shared" si="3"/>
        <v/>
      </c>
    </row>
    <row r="112" spans="1:10" ht="16.5" customHeight="1">
      <c r="A112" s="4"/>
      <c r="B112" s="2"/>
      <c r="C112" s="2"/>
      <c r="D112" s="2"/>
      <c r="E112" s="5"/>
      <c r="F112" s="7"/>
      <c r="G112" s="4"/>
      <c r="H112" s="2"/>
      <c r="I112" s="2"/>
      <c r="J112" s="6" t="str">
        <f t="shared" si="3"/>
        <v/>
      </c>
    </row>
    <row r="113" spans="1:10" ht="16.5" customHeight="1">
      <c r="A113" s="4"/>
      <c r="B113" s="2"/>
      <c r="C113" s="2"/>
      <c r="D113" s="2"/>
      <c r="E113" s="5"/>
      <c r="F113" s="7"/>
      <c r="G113" s="4"/>
      <c r="H113" s="2"/>
      <c r="I113" s="2"/>
      <c r="J113" s="6" t="str">
        <f t="shared" si="3"/>
        <v/>
      </c>
    </row>
    <row r="114" spans="1:10" ht="16.5" customHeight="1">
      <c r="A114" s="4"/>
      <c r="B114" s="2"/>
      <c r="C114" s="2"/>
      <c r="D114" s="2"/>
      <c r="E114" s="5"/>
      <c r="F114" s="7"/>
      <c r="G114" s="4"/>
      <c r="H114" s="2"/>
      <c r="I114" s="2"/>
      <c r="J114" s="6" t="str">
        <f t="shared" si="3"/>
        <v/>
      </c>
    </row>
    <row r="115" spans="1:10" ht="16.5" customHeight="1">
      <c r="A115" s="4"/>
      <c r="B115" s="2"/>
      <c r="C115" s="2"/>
      <c r="D115" s="2"/>
      <c r="E115" s="5"/>
      <c r="F115" s="7"/>
      <c r="G115" s="4"/>
      <c r="H115" s="2"/>
      <c r="I115" s="2"/>
      <c r="J115" s="6" t="str">
        <f t="shared" si="3"/>
        <v/>
      </c>
    </row>
    <row r="116" spans="1:10" ht="16.5" customHeight="1">
      <c r="A116" s="4"/>
      <c r="B116" s="2"/>
      <c r="C116" s="2"/>
      <c r="D116" s="2"/>
      <c r="E116" s="5"/>
      <c r="F116" s="7"/>
      <c r="G116" s="4"/>
      <c r="H116" s="2"/>
      <c r="I116" s="2"/>
      <c r="J116" s="6" t="str">
        <f t="shared" si="3"/>
        <v/>
      </c>
    </row>
    <row r="117" spans="1:10" ht="16.5" customHeight="1">
      <c r="A117" s="4"/>
      <c r="B117" s="2"/>
      <c r="C117" s="2"/>
      <c r="D117" s="2"/>
      <c r="E117" s="5"/>
      <c r="F117" s="7"/>
      <c r="G117" s="4"/>
      <c r="H117" s="2"/>
      <c r="I117" s="2"/>
      <c r="J117" s="6" t="str">
        <f t="shared" si="3"/>
        <v/>
      </c>
    </row>
    <row r="118" spans="1:10" ht="16.5" customHeight="1">
      <c r="A118" s="4"/>
      <c r="B118" s="2"/>
      <c r="C118" s="2"/>
      <c r="D118" s="2"/>
      <c r="E118" s="5"/>
      <c r="F118" s="7"/>
      <c r="G118" s="4"/>
      <c r="H118" s="2"/>
      <c r="I118" s="2"/>
      <c r="J118" s="6" t="str">
        <f t="shared" si="3"/>
        <v/>
      </c>
    </row>
    <row r="119" spans="1:10" ht="16.5" customHeight="1">
      <c r="A119" s="4"/>
      <c r="B119" s="2"/>
      <c r="C119" s="2"/>
      <c r="D119" s="2"/>
      <c r="E119" s="5"/>
      <c r="F119" s="7"/>
      <c r="G119" s="4"/>
      <c r="H119" s="2"/>
      <c r="I119" s="2"/>
      <c r="J119" s="6" t="str">
        <f t="shared" si="3"/>
        <v/>
      </c>
    </row>
    <row r="120" spans="1:10" ht="16.5" customHeight="1">
      <c r="A120" s="4"/>
      <c r="B120" s="2"/>
      <c r="C120" s="2"/>
      <c r="D120" s="2"/>
      <c r="E120" s="5"/>
      <c r="F120" s="7"/>
      <c r="G120" s="4"/>
      <c r="H120" s="2"/>
      <c r="I120" s="2"/>
      <c r="J120" s="6" t="str">
        <f t="shared" si="3"/>
        <v/>
      </c>
    </row>
    <row r="121" spans="1:10" ht="16.5" customHeight="1">
      <c r="A121" s="4"/>
      <c r="B121" s="2"/>
      <c r="C121" s="2"/>
      <c r="D121" s="2"/>
      <c r="E121" s="5"/>
      <c r="F121" s="7"/>
      <c r="G121" s="4"/>
      <c r="H121" s="2"/>
      <c r="I121" s="2"/>
      <c r="J121" s="6" t="str">
        <f t="shared" si="3"/>
        <v/>
      </c>
    </row>
    <row r="122" spans="1:10" ht="16.5" customHeight="1">
      <c r="A122" s="4"/>
      <c r="B122" s="2"/>
      <c r="C122" s="2"/>
      <c r="D122" s="2"/>
      <c r="E122" s="5"/>
      <c r="F122" s="7"/>
      <c r="G122" s="4"/>
      <c r="H122" s="2"/>
      <c r="I122" s="2"/>
      <c r="J122" s="6" t="str">
        <f t="shared" si="3"/>
        <v/>
      </c>
    </row>
    <row r="123" spans="1:10" ht="16.5" customHeight="1">
      <c r="A123" s="4"/>
      <c r="B123" s="2"/>
      <c r="C123" s="2"/>
      <c r="D123" s="2"/>
      <c r="E123" s="5"/>
      <c r="F123" s="7"/>
      <c r="G123" s="4"/>
      <c r="H123" s="2"/>
      <c r="I123" s="2"/>
      <c r="J123" s="6" t="str">
        <f t="shared" si="3"/>
        <v/>
      </c>
    </row>
    <row r="124" spans="1:10" ht="16.5" customHeight="1">
      <c r="A124" s="4"/>
      <c r="B124" s="2"/>
      <c r="C124" s="2"/>
      <c r="D124" s="2"/>
      <c r="E124" s="5"/>
      <c r="F124" s="7"/>
      <c r="G124" s="4"/>
      <c r="H124" s="2"/>
      <c r="I124" s="2"/>
      <c r="J124" s="6" t="str">
        <f t="shared" si="3"/>
        <v/>
      </c>
    </row>
    <row r="125" spans="1:10" ht="16.5" customHeight="1">
      <c r="A125" s="4"/>
      <c r="B125" s="2"/>
      <c r="C125" s="2"/>
      <c r="D125" s="2"/>
      <c r="E125" s="5"/>
      <c r="F125" s="7"/>
      <c r="G125" s="4"/>
      <c r="H125" s="2"/>
      <c r="I125" s="2"/>
      <c r="J125" s="6" t="str">
        <f t="shared" si="3"/>
        <v/>
      </c>
    </row>
    <row r="126" spans="1:10" ht="16.5" customHeight="1">
      <c r="A126" s="4"/>
      <c r="B126" s="2"/>
      <c r="C126" s="2"/>
      <c r="D126" s="2"/>
      <c r="E126" s="5"/>
      <c r="F126" s="7"/>
      <c r="G126" s="4"/>
      <c r="H126" s="2"/>
      <c r="I126" s="2"/>
      <c r="J126" s="6" t="str">
        <f t="shared" si="3"/>
        <v/>
      </c>
    </row>
    <row r="127" spans="1:10" ht="16.5" customHeight="1">
      <c r="A127" s="4"/>
      <c r="B127" s="2"/>
      <c r="C127" s="2"/>
      <c r="D127" s="2"/>
      <c r="E127" s="5"/>
      <c r="F127" s="7"/>
      <c r="G127" s="4"/>
      <c r="H127" s="2"/>
      <c r="I127" s="2"/>
      <c r="J127" s="6" t="str">
        <f t="shared" si="3"/>
        <v/>
      </c>
    </row>
    <row r="128" spans="1:10" ht="16.5" customHeight="1">
      <c r="A128" s="4"/>
      <c r="B128" s="2"/>
      <c r="C128" s="2"/>
      <c r="D128" s="2"/>
      <c r="E128" s="5"/>
      <c r="F128" s="7"/>
      <c r="G128" s="4"/>
      <c r="H128" s="2"/>
      <c r="I128" s="2"/>
      <c r="J128" s="6" t="str">
        <f t="shared" si="3"/>
        <v/>
      </c>
    </row>
    <row r="129" spans="1:10" ht="16.5" customHeight="1">
      <c r="A129" s="4"/>
      <c r="B129" s="2"/>
      <c r="C129" s="2"/>
      <c r="D129" s="2"/>
      <c r="E129" s="5"/>
      <c r="F129" s="7"/>
      <c r="G129" s="4"/>
      <c r="H129" s="2"/>
      <c r="I129" s="2"/>
      <c r="J129" s="6" t="str">
        <f t="shared" si="3"/>
        <v/>
      </c>
    </row>
    <row r="130" spans="1:10" ht="16.5" customHeight="1">
      <c r="A130" s="4"/>
      <c r="B130" s="2"/>
      <c r="C130" s="2"/>
      <c r="D130" s="2"/>
      <c r="E130" s="5"/>
      <c r="F130" s="7"/>
      <c r="G130" s="4"/>
      <c r="H130" s="2"/>
      <c r="I130" s="2"/>
      <c r="J130" s="6" t="str">
        <f t="shared" si="3"/>
        <v/>
      </c>
    </row>
    <row r="131" spans="1:10" ht="16.5" customHeight="1">
      <c r="A131" s="4"/>
      <c r="B131" s="2"/>
      <c r="C131" s="2"/>
      <c r="D131" s="2"/>
      <c r="E131" s="5"/>
      <c r="F131" s="7"/>
      <c r="G131" s="4"/>
      <c r="H131" s="2"/>
      <c r="I131" s="2"/>
      <c r="J131" s="6" t="str">
        <f t="shared" si="3"/>
        <v/>
      </c>
    </row>
    <row r="132" spans="1:10" ht="16.5" customHeight="1">
      <c r="A132" s="4"/>
      <c r="B132" s="2"/>
      <c r="C132" s="2"/>
      <c r="D132" s="2"/>
      <c r="E132" s="5"/>
      <c r="F132" s="7"/>
      <c r="G132" s="4"/>
      <c r="H132" s="2"/>
      <c r="I132" s="2"/>
      <c r="J132" s="6" t="str">
        <f t="shared" si="3"/>
        <v/>
      </c>
    </row>
    <row r="133" spans="1:10" ht="16.5" customHeight="1">
      <c r="A133" s="4"/>
      <c r="B133" s="2"/>
      <c r="C133" s="2"/>
      <c r="D133" s="2"/>
      <c r="E133" s="5"/>
      <c r="F133" s="7"/>
      <c r="G133" s="4"/>
      <c r="H133" s="2"/>
      <c r="I133" s="2"/>
      <c r="J133" s="6" t="str">
        <f t="shared" si="3"/>
        <v/>
      </c>
    </row>
    <row r="134" spans="1:10" ht="16.5" customHeight="1">
      <c r="A134" s="4"/>
      <c r="B134" s="2"/>
      <c r="C134" s="2"/>
      <c r="D134" s="2"/>
      <c r="E134" s="5"/>
      <c r="F134" s="7"/>
      <c r="G134" s="4"/>
      <c r="H134" s="2"/>
      <c r="I134" s="2"/>
      <c r="J134" s="6" t="str">
        <f t="shared" ref="J134:J165" si="4">IF(A134="","",TEXT(A134,"yyyy-mm"))</f>
        <v/>
      </c>
    </row>
    <row r="135" spans="1:10" ht="16.5" customHeight="1">
      <c r="A135" s="4"/>
      <c r="B135" s="2"/>
      <c r="C135" s="2"/>
      <c r="D135" s="2"/>
      <c r="E135" s="5"/>
      <c r="F135" s="7"/>
      <c r="G135" s="4"/>
      <c r="H135" s="2"/>
      <c r="I135" s="2"/>
      <c r="J135" s="6" t="str">
        <f t="shared" si="4"/>
        <v/>
      </c>
    </row>
    <row r="136" spans="1:10" ht="16.5" customHeight="1">
      <c r="A136" s="4"/>
      <c r="B136" s="2"/>
      <c r="C136" s="2"/>
      <c r="D136" s="2"/>
      <c r="E136" s="5"/>
      <c r="F136" s="7"/>
      <c r="G136" s="4"/>
      <c r="H136" s="2"/>
      <c r="I136" s="2"/>
      <c r="J136" s="6" t="str">
        <f t="shared" si="4"/>
        <v/>
      </c>
    </row>
    <row r="137" spans="1:10" ht="16.5" customHeight="1">
      <c r="A137" s="4"/>
      <c r="B137" s="2"/>
      <c r="C137" s="2"/>
      <c r="D137" s="2"/>
      <c r="E137" s="5"/>
      <c r="F137" s="7"/>
      <c r="G137" s="4"/>
      <c r="H137" s="2"/>
      <c r="I137" s="2"/>
      <c r="J137" s="6" t="str">
        <f t="shared" si="4"/>
        <v/>
      </c>
    </row>
    <row r="138" spans="1:10" ht="16.5" customHeight="1">
      <c r="A138" s="4"/>
      <c r="B138" s="2"/>
      <c r="C138" s="2"/>
      <c r="D138" s="2"/>
      <c r="E138" s="5"/>
      <c r="F138" s="7"/>
      <c r="G138" s="4"/>
      <c r="H138" s="2"/>
      <c r="I138" s="2"/>
      <c r="J138" s="6" t="str">
        <f t="shared" si="4"/>
        <v/>
      </c>
    </row>
    <row r="139" spans="1:10" ht="16.5" customHeight="1">
      <c r="A139" s="4"/>
      <c r="B139" s="2"/>
      <c r="C139" s="2"/>
      <c r="D139" s="2"/>
      <c r="E139" s="5"/>
      <c r="F139" s="7"/>
      <c r="G139" s="4"/>
      <c r="H139" s="2"/>
      <c r="I139" s="2"/>
      <c r="J139" s="6" t="str">
        <f t="shared" si="4"/>
        <v/>
      </c>
    </row>
    <row r="140" spans="1:10" ht="16.5" customHeight="1">
      <c r="A140" s="4"/>
      <c r="B140" s="2"/>
      <c r="C140" s="2"/>
      <c r="D140" s="2"/>
      <c r="E140" s="5"/>
      <c r="F140" s="7"/>
      <c r="G140" s="4"/>
      <c r="H140" s="2"/>
      <c r="I140" s="2"/>
      <c r="J140" s="6" t="str">
        <f t="shared" si="4"/>
        <v/>
      </c>
    </row>
    <row r="141" spans="1:10" ht="16.5" customHeight="1">
      <c r="A141" s="4"/>
      <c r="B141" s="2"/>
      <c r="C141" s="2"/>
      <c r="D141" s="2"/>
      <c r="E141" s="5"/>
      <c r="F141" s="7"/>
      <c r="G141" s="4"/>
      <c r="H141" s="2"/>
      <c r="I141" s="2"/>
      <c r="J141" s="6" t="str">
        <f t="shared" si="4"/>
        <v/>
      </c>
    </row>
    <row r="142" spans="1:10" ht="16.5" customHeight="1">
      <c r="A142" s="4"/>
      <c r="B142" s="2"/>
      <c r="C142" s="2"/>
      <c r="D142" s="2"/>
      <c r="E142" s="5"/>
      <c r="F142" s="7"/>
      <c r="G142" s="4"/>
      <c r="H142" s="2"/>
      <c r="I142" s="2"/>
      <c r="J142" s="6" t="str">
        <f t="shared" si="4"/>
        <v/>
      </c>
    </row>
    <row r="143" spans="1:10" ht="16.5" customHeight="1">
      <c r="A143" s="4"/>
      <c r="B143" s="2"/>
      <c r="C143" s="2"/>
      <c r="D143" s="2"/>
      <c r="E143" s="5"/>
      <c r="F143" s="7"/>
      <c r="G143" s="4"/>
      <c r="H143" s="2"/>
      <c r="I143" s="2"/>
      <c r="J143" s="6" t="str">
        <f t="shared" si="4"/>
        <v/>
      </c>
    </row>
    <row r="144" spans="1:10" ht="16.5" customHeight="1">
      <c r="A144" s="4"/>
      <c r="B144" s="2"/>
      <c r="C144" s="2"/>
      <c r="D144" s="2"/>
      <c r="E144" s="5"/>
      <c r="F144" s="7"/>
      <c r="G144" s="4"/>
      <c r="H144" s="2"/>
      <c r="I144" s="2"/>
      <c r="J144" s="6" t="str">
        <f t="shared" si="4"/>
        <v/>
      </c>
    </row>
    <row r="145" spans="1:10" ht="16.5" customHeight="1">
      <c r="A145" s="4"/>
      <c r="B145" s="2"/>
      <c r="C145" s="2"/>
      <c r="D145" s="2"/>
      <c r="E145" s="5"/>
      <c r="F145" s="7"/>
      <c r="G145" s="4"/>
      <c r="H145" s="2"/>
      <c r="I145" s="2"/>
      <c r="J145" s="6" t="str">
        <f t="shared" si="4"/>
        <v/>
      </c>
    </row>
    <row r="146" spans="1:10" ht="16.5" customHeight="1">
      <c r="A146" s="4"/>
      <c r="B146" s="2"/>
      <c r="C146" s="2"/>
      <c r="D146" s="2"/>
      <c r="E146" s="5"/>
      <c r="F146" s="7"/>
      <c r="G146" s="4"/>
      <c r="H146" s="2"/>
      <c r="I146" s="2"/>
      <c r="J146" s="6" t="str">
        <f t="shared" si="4"/>
        <v/>
      </c>
    </row>
    <row r="147" spans="1:10" ht="16.5" customHeight="1">
      <c r="A147" s="4"/>
      <c r="B147" s="2"/>
      <c r="C147" s="2"/>
      <c r="D147" s="2"/>
      <c r="E147" s="5"/>
      <c r="F147" s="7"/>
      <c r="G147" s="4"/>
      <c r="H147" s="2"/>
      <c r="I147" s="2"/>
      <c r="J147" s="6" t="str">
        <f t="shared" si="4"/>
        <v/>
      </c>
    </row>
    <row r="148" spans="1:10" ht="16.5" customHeight="1">
      <c r="A148" s="4"/>
      <c r="B148" s="2"/>
      <c r="C148" s="2"/>
      <c r="D148" s="2"/>
      <c r="E148" s="5"/>
      <c r="F148" s="7"/>
      <c r="G148" s="4"/>
      <c r="H148" s="2"/>
      <c r="I148" s="2"/>
      <c r="J148" s="6" t="str">
        <f t="shared" si="4"/>
        <v/>
      </c>
    </row>
    <row r="149" spans="1:10" ht="16.5" customHeight="1">
      <c r="A149" s="4"/>
      <c r="B149" s="2"/>
      <c r="C149" s="2"/>
      <c r="D149" s="2"/>
      <c r="E149" s="5"/>
      <c r="F149" s="7"/>
      <c r="G149" s="4"/>
      <c r="H149" s="2"/>
      <c r="I149" s="2"/>
      <c r="J149" s="6" t="str">
        <f t="shared" si="4"/>
        <v/>
      </c>
    </row>
    <row r="150" spans="1:10" ht="16.5" customHeight="1">
      <c r="A150" s="4"/>
      <c r="B150" s="2"/>
      <c r="C150" s="2"/>
      <c r="D150" s="2"/>
      <c r="E150" s="5"/>
      <c r="F150" s="7"/>
      <c r="G150" s="4"/>
      <c r="H150" s="2"/>
      <c r="I150" s="2"/>
      <c r="J150" s="6" t="str">
        <f t="shared" si="4"/>
        <v/>
      </c>
    </row>
    <row r="151" spans="1:10" ht="16.5" customHeight="1">
      <c r="A151" s="4"/>
      <c r="B151" s="2"/>
      <c r="C151" s="2"/>
      <c r="D151" s="2"/>
      <c r="E151" s="5"/>
      <c r="F151" s="7"/>
      <c r="G151" s="4"/>
      <c r="H151" s="2"/>
      <c r="I151" s="2"/>
      <c r="J151" s="6" t="str">
        <f t="shared" si="4"/>
        <v/>
      </c>
    </row>
    <row r="152" spans="1:10" ht="16.5" customHeight="1">
      <c r="A152" s="4"/>
      <c r="B152" s="2"/>
      <c r="C152" s="2"/>
      <c r="D152" s="2"/>
      <c r="E152" s="5"/>
      <c r="F152" s="7"/>
      <c r="G152" s="4"/>
      <c r="H152" s="2"/>
      <c r="I152" s="2"/>
      <c r="J152" s="6" t="str">
        <f t="shared" si="4"/>
        <v/>
      </c>
    </row>
    <row r="153" spans="1:10" ht="16.5" customHeight="1">
      <c r="A153" s="4"/>
      <c r="B153" s="2"/>
      <c r="C153" s="2"/>
      <c r="D153" s="2"/>
      <c r="E153" s="5"/>
      <c r="F153" s="7"/>
      <c r="G153" s="4"/>
      <c r="H153" s="2"/>
      <c r="I153" s="2"/>
      <c r="J153" s="6" t="str">
        <f t="shared" si="4"/>
        <v/>
      </c>
    </row>
    <row r="154" spans="1:10" ht="16.5" customHeight="1">
      <c r="A154" s="4"/>
      <c r="B154" s="2"/>
      <c r="C154" s="2"/>
      <c r="D154" s="2"/>
      <c r="E154" s="5"/>
      <c r="F154" s="7"/>
      <c r="G154" s="4"/>
      <c r="H154" s="2"/>
      <c r="I154" s="2"/>
      <c r="J154" s="6" t="str">
        <f t="shared" si="4"/>
        <v/>
      </c>
    </row>
    <row r="155" spans="1:10" ht="16.5" customHeight="1">
      <c r="A155" s="4"/>
      <c r="B155" s="2"/>
      <c r="C155" s="2"/>
      <c r="D155" s="2"/>
      <c r="E155" s="5"/>
      <c r="F155" s="7"/>
      <c r="G155" s="4"/>
      <c r="H155" s="2"/>
      <c r="I155" s="2"/>
      <c r="J155" s="6" t="str">
        <f t="shared" si="4"/>
        <v/>
      </c>
    </row>
    <row r="156" spans="1:10" ht="16.5" customHeight="1">
      <c r="A156" s="4"/>
      <c r="B156" s="2"/>
      <c r="C156" s="2"/>
      <c r="D156" s="2"/>
      <c r="E156" s="5"/>
      <c r="F156" s="7"/>
      <c r="G156" s="4"/>
      <c r="H156" s="2"/>
      <c r="I156" s="2"/>
      <c r="J156" s="6" t="str">
        <f t="shared" si="4"/>
        <v/>
      </c>
    </row>
    <row r="157" spans="1:10" ht="16.5" customHeight="1">
      <c r="A157" s="4"/>
      <c r="B157" s="2"/>
      <c r="C157" s="2"/>
      <c r="D157" s="2"/>
      <c r="E157" s="5"/>
      <c r="F157" s="7"/>
      <c r="G157" s="4"/>
      <c r="H157" s="2"/>
      <c r="I157" s="2"/>
      <c r="J157" s="6" t="str">
        <f t="shared" si="4"/>
        <v/>
      </c>
    </row>
    <row r="158" spans="1:10" ht="16.5" customHeight="1">
      <c r="A158" s="4"/>
      <c r="B158" s="2"/>
      <c r="C158" s="2"/>
      <c r="D158" s="2"/>
      <c r="E158" s="5"/>
      <c r="F158" s="7"/>
      <c r="G158" s="4"/>
      <c r="H158" s="2"/>
      <c r="I158" s="2"/>
      <c r="J158" s="6" t="str">
        <f t="shared" si="4"/>
        <v/>
      </c>
    </row>
    <row r="159" spans="1:10" ht="16.5" customHeight="1">
      <c r="A159" s="4"/>
      <c r="B159" s="2"/>
      <c r="C159" s="2"/>
      <c r="D159" s="2"/>
      <c r="E159" s="5"/>
      <c r="F159" s="7"/>
      <c r="G159" s="4"/>
      <c r="H159" s="2"/>
      <c r="I159" s="2"/>
      <c r="J159" s="6" t="str">
        <f t="shared" si="4"/>
        <v/>
      </c>
    </row>
    <row r="160" spans="1:10" ht="16.5" customHeight="1">
      <c r="A160" s="4"/>
      <c r="B160" s="2"/>
      <c r="C160" s="2"/>
      <c r="D160" s="2"/>
      <c r="E160" s="5"/>
      <c r="F160" s="7"/>
      <c r="G160" s="4"/>
      <c r="H160" s="2"/>
      <c r="I160" s="2"/>
      <c r="J160" s="6" t="str">
        <f t="shared" si="4"/>
        <v/>
      </c>
    </row>
    <row r="161" spans="1:10" ht="16.5" customHeight="1">
      <c r="A161" s="4"/>
      <c r="B161" s="2"/>
      <c r="C161" s="2"/>
      <c r="D161" s="2"/>
      <c r="E161" s="5"/>
      <c r="F161" s="7"/>
      <c r="G161" s="4"/>
      <c r="H161" s="2"/>
      <c r="I161" s="2"/>
      <c r="J161" s="6" t="str">
        <f t="shared" si="4"/>
        <v/>
      </c>
    </row>
    <row r="162" spans="1:10" ht="16.5" customHeight="1">
      <c r="A162" s="4"/>
      <c r="B162" s="2"/>
      <c r="C162" s="2"/>
      <c r="D162" s="2"/>
      <c r="E162" s="5"/>
      <c r="F162" s="7"/>
      <c r="G162" s="4"/>
      <c r="H162" s="2"/>
      <c r="I162" s="2"/>
      <c r="J162" s="6" t="str">
        <f t="shared" si="4"/>
        <v/>
      </c>
    </row>
    <row r="163" spans="1:10" ht="16.5" customHeight="1">
      <c r="A163" s="4"/>
      <c r="B163" s="2"/>
      <c r="C163" s="2"/>
      <c r="D163" s="2"/>
      <c r="E163" s="5"/>
      <c r="F163" s="7"/>
      <c r="G163" s="4"/>
      <c r="H163" s="2"/>
      <c r="I163" s="2"/>
      <c r="J163" s="6" t="str">
        <f t="shared" si="4"/>
        <v/>
      </c>
    </row>
    <row r="164" spans="1:10" ht="16.5" customHeight="1">
      <c r="A164" s="4"/>
      <c r="B164" s="2"/>
      <c r="C164" s="2"/>
      <c r="D164" s="2"/>
      <c r="E164" s="5"/>
      <c r="F164" s="7"/>
      <c r="G164" s="4"/>
      <c r="H164" s="2"/>
      <c r="I164" s="2"/>
      <c r="J164" s="6" t="str">
        <f t="shared" si="4"/>
        <v/>
      </c>
    </row>
    <row r="165" spans="1:10" ht="16.5" customHeight="1">
      <c r="A165" s="4"/>
      <c r="B165" s="2"/>
      <c r="C165" s="2"/>
      <c r="D165" s="2"/>
      <c r="E165" s="5"/>
      <c r="F165" s="7"/>
      <c r="G165" s="4"/>
      <c r="H165" s="2"/>
      <c r="I165" s="2"/>
      <c r="J165" s="6" t="str">
        <f t="shared" si="4"/>
        <v/>
      </c>
    </row>
    <row r="166" spans="1:10" ht="16.5" customHeight="1">
      <c r="A166" s="4"/>
      <c r="B166" s="2"/>
      <c r="C166" s="2"/>
      <c r="D166" s="2"/>
      <c r="E166" s="5"/>
      <c r="F166" s="7"/>
      <c r="G166" s="4"/>
      <c r="H166" s="2"/>
      <c r="I166" s="2"/>
      <c r="J166" s="6" t="str">
        <f t="shared" ref="J166:J197" si="5">IF(A166="","",TEXT(A166,"yyyy-mm"))</f>
        <v/>
      </c>
    </row>
    <row r="167" spans="1:10" ht="16.5" customHeight="1">
      <c r="A167" s="4"/>
      <c r="B167" s="2"/>
      <c r="C167" s="2"/>
      <c r="D167" s="2"/>
      <c r="E167" s="5"/>
      <c r="F167" s="7"/>
      <c r="G167" s="4"/>
      <c r="H167" s="2"/>
      <c r="I167" s="2"/>
      <c r="J167" s="6" t="str">
        <f t="shared" si="5"/>
        <v/>
      </c>
    </row>
    <row r="168" spans="1:10" ht="16.5" customHeight="1">
      <c r="A168" s="4"/>
      <c r="B168" s="2"/>
      <c r="C168" s="2"/>
      <c r="D168" s="2"/>
      <c r="E168" s="5"/>
      <c r="F168" s="7"/>
      <c r="G168" s="4"/>
      <c r="H168" s="2"/>
      <c r="I168" s="2"/>
      <c r="J168" s="6" t="str">
        <f t="shared" si="5"/>
        <v/>
      </c>
    </row>
    <row r="169" spans="1:10" ht="16.5" customHeight="1">
      <c r="A169" s="4"/>
      <c r="B169" s="2"/>
      <c r="C169" s="2"/>
      <c r="D169" s="2"/>
      <c r="E169" s="5"/>
      <c r="F169" s="7"/>
      <c r="G169" s="4"/>
      <c r="H169" s="2"/>
      <c r="I169" s="2"/>
      <c r="J169" s="6" t="str">
        <f t="shared" si="5"/>
        <v/>
      </c>
    </row>
    <row r="170" spans="1:10" ht="16.5" customHeight="1">
      <c r="A170" s="4"/>
      <c r="B170" s="2"/>
      <c r="C170" s="2"/>
      <c r="D170" s="2"/>
      <c r="E170" s="5"/>
      <c r="F170" s="7"/>
      <c r="G170" s="4"/>
      <c r="H170" s="2"/>
      <c r="I170" s="2"/>
      <c r="J170" s="6" t="str">
        <f t="shared" si="5"/>
        <v/>
      </c>
    </row>
    <row r="171" spans="1:10" ht="16.5" customHeight="1">
      <c r="A171" s="4"/>
      <c r="B171" s="2"/>
      <c r="C171" s="2"/>
      <c r="D171" s="2"/>
      <c r="E171" s="5"/>
      <c r="F171" s="7"/>
      <c r="G171" s="4"/>
      <c r="H171" s="2"/>
      <c r="I171" s="2"/>
      <c r="J171" s="6" t="str">
        <f t="shared" si="5"/>
        <v/>
      </c>
    </row>
    <row r="172" spans="1:10" ht="16.5" customHeight="1">
      <c r="A172" s="4"/>
      <c r="B172" s="2"/>
      <c r="C172" s="2"/>
      <c r="D172" s="2"/>
      <c r="E172" s="5"/>
      <c r="F172" s="7"/>
      <c r="G172" s="4"/>
      <c r="H172" s="2"/>
      <c r="I172" s="2"/>
      <c r="J172" s="6" t="str">
        <f t="shared" si="5"/>
        <v/>
      </c>
    </row>
    <row r="173" spans="1:10" ht="16.5" customHeight="1">
      <c r="A173" s="4"/>
      <c r="B173" s="2"/>
      <c r="C173" s="2"/>
      <c r="D173" s="2"/>
      <c r="E173" s="5"/>
      <c r="F173" s="7"/>
      <c r="G173" s="4"/>
      <c r="H173" s="2"/>
      <c r="I173" s="2"/>
      <c r="J173" s="6" t="str">
        <f t="shared" si="5"/>
        <v/>
      </c>
    </row>
    <row r="174" spans="1:10" ht="16.5" customHeight="1">
      <c r="A174" s="4"/>
      <c r="B174" s="2"/>
      <c r="C174" s="2"/>
      <c r="D174" s="2"/>
      <c r="E174" s="5"/>
      <c r="F174" s="7"/>
      <c r="G174" s="4"/>
      <c r="H174" s="2"/>
      <c r="I174" s="2"/>
      <c r="J174" s="6" t="str">
        <f t="shared" si="5"/>
        <v/>
      </c>
    </row>
    <row r="175" spans="1:10" ht="16.5" customHeight="1">
      <c r="A175" s="4"/>
      <c r="B175" s="2"/>
      <c r="C175" s="2"/>
      <c r="D175" s="2"/>
      <c r="E175" s="5"/>
      <c r="F175" s="7"/>
      <c r="G175" s="4"/>
      <c r="H175" s="2"/>
      <c r="I175" s="2"/>
      <c r="J175" s="6" t="str">
        <f t="shared" si="5"/>
        <v/>
      </c>
    </row>
    <row r="176" spans="1:10" ht="16.5" customHeight="1">
      <c r="A176" s="4"/>
      <c r="B176" s="2"/>
      <c r="C176" s="2"/>
      <c r="D176" s="2"/>
      <c r="E176" s="5"/>
      <c r="F176" s="7"/>
      <c r="G176" s="4"/>
      <c r="H176" s="2"/>
      <c r="I176" s="2"/>
      <c r="J176" s="6" t="str">
        <f t="shared" si="5"/>
        <v/>
      </c>
    </row>
    <row r="177" spans="1:10" ht="16.5" customHeight="1">
      <c r="A177" s="4"/>
      <c r="B177" s="2"/>
      <c r="C177" s="2"/>
      <c r="D177" s="2"/>
      <c r="E177" s="5"/>
      <c r="F177" s="7"/>
      <c r="G177" s="4"/>
      <c r="H177" s="2"/>
      <c r="I177" s="2"/>
      <c r="J177" s="6" t="str">
        <f t="shared" si="5"/>
        <v/>
      </c>
    </row>
    <row r="178" spans="1:10" ht="16.5" customHeight="1">
      <c r="A178" s="4"/>
      <c r="B178" s="2"/>
      <c r="C178" s="2"/>
      <c r="D178" s="2"/>
      <c r="E178" s="5"/>
      <c r="F178" s="7"/>
      <c r="G178" s="4"/>
      <c r="H178" s="2"/>
      <c r="I178" s="2"/>
      <c r="J178" s="6" t="str">
        <f t="shared" si="5"/>
        <v/>
      </c>
    </row>
    <row r="179" spans="1:10" ht="16.5" customHeight="1">
      <c r="A179" s="4"/>
      <c r="B179" s="2"/>
      <c r="C179" s="2"/>
      <c r="D179" s="2"/>
      <c r="E179" s="5"/>
      <c r="F179" s="7"/>
      <c r="G179" s="4"/>
      <c r="H179" s="2"/>
      <c r="I179" s="2"/>
      <c r="J179" s="6" t="str">
        <f t="shared" si="5"/>
        <v/>
      </c>
    </row>
    <row r="180" spans="1:10" ht="16.5" customHeight="1">
      <c r="A180" s="4"/>
      <c r="B180" s="2"/>
      <c r="C180" s="2"/>
      <c r="D180" s="2"/>
      <c r="E180" s="5"/>
      <c r="F180" s="7"/>
      <c r="G180" s="4"/>
      <c r="H180" s="2"/>
      <c r="I180" s="2"/>
      <c r="J180" s="6" t="str">
        <f t="shared" si="5"/>
        <v/>
      </c>
    </row>
    <row r="181" spans="1:10" ht="16.5" customHeight="1">
      <c r="A181" s="4"/>
      <c r="B181" s="2"/>
      <c r="C181" s="2"/>
      <c r="D181" s="2"/>
      <c r="E181" s="5"/>
      <c r="F181" s="7"/>
      <c r="G181" s="4"/>
      <c r="H181" s="2"/>
      <c r="I181" s="2"/>
      <c r="J181" s="6" t="str">
        <f t="shared" si="5"/>
        <v/>
      </c>
    </row>
    <row r="182" spans="1:10" ht="16.5" customHeight="1">
      <c r="A182" s="4"/>
      <c r="B182" s="2"/>
      <c r="C182" s="2"/>
      <c r="D182" s="2"/>
      <c r="E182" s="5"/>
      <c r="F182" s="7"/>
      <c r="G182" s="4"/>
      <c r="H182" s="2"/>
      <c r="I182" s="2"/>
      <c r="J182" s="6" t="str">
        <f t="shared" si="5"/>
        <v/>
      </c>
    </row>
    <row r="183" spans="1:10" ht="16.5" customHeight="1">
      <c r="A183" s="4"/>
      <c r="B183" s="2"/>
      <c r="C183" s="2"/>
      <c r="D183" s="2"/>
      <c r="E183" s="5"/>
      <c r="F183" s="7"/>
      <c r="G183" s="4"/>
      <c r="H183" s="2"/>
      <c r="I183" s="2"/>
      <c r="J183" s="6" t="str">
        <f t="shared" si="5"/>
        <v/>
      </c>
    </row>
    <row r="184" spans="1:10" ht="16.5" customHeight="1">
      <c r="A184" s="4"/>
      <c r="B184" s="2"/>
      <c r="C184" s="2"/>
      <c r="D184" s="2"/>
      <c r="E184" s="5"/>
      <c r="F184" s="7"/>
      <c r="G184" s="4"/>
      <c r="H184" s="2"/>
      <c r="I184" s="2"/>
      <c r="J184" s="6" t="str">
        <f t="shared" si="5"/>
        <v/>
      </c>
    </row>
    <row r="185" spans="1:10" ht="16.5" customHeight="1">
      <c r="A185" s="4"/>
      <c r="B185" s="2"/>
      <c r="C185" s="2"/>
      <c r="D185" s="2"/>
      <c r="E185" s="5"/>
      <c r="F185" s="7"/>
      <c r="G185" s="4"/>
      <c r="H185" s="2"/>
      <c r="I185" s="2"/>
      <c r="J185" s="6" t="str">
        <f t="shared" si="5"/>
        <v/>
      </c>
    </row>
    <row r="186" spans="1:10" ht="16.5" customHeight="1">
      <c r="A186" s="4"/>
      <c r="B186" s="2"/>
      <c r="C186" s="2"/>
      <c r="D186" s="2"/>
      <c r="E186" s="5"/>
      <c r="F186" s="7"/>
      <c r="G186" s="4"/>
      <c r="H186" s="2"/>
      <c r="I186" s="2"/>
      <c r="J186" s="6" t="str">
        <f t="shared" si="5"/>
        <v/>
      </c>
    </row>
    <row r="187" spans="1:10" ht="16.5" customHeight="1">
      <c r="A187" s="4"/>
      <c r="B187" s="2"/>
      <c r="C187" s="2"/>
      <c r="D187" s="2"/>
      <c r="E187" s="5"/>
      <c r="F187" s="7"/>
      <c r="G187" s="4"/>
      <c r="H187" s="2"/>
      <c r="I187" s="2"/>
      <c r="J187" s="6" t="str">
        <f t="shared" si="5"/>
        <v/>
      </c>
    </row>
    <row r="188" spans="1:10" ht="16.5" customHeight="1">
      <c r="A188" s="4"/>
      <c r="B188" s="2"/>
      <c r="C188" s="2"/>
      <c r="D188" s="2"/>
      <c r="E188" s="5"/>
      <c r="F188" s="7"/>
      <c r="G188" s="4"/>
      <c r="H188" s="2"/>
      <c r="I188" s="2"/>
      <c r="J188" s="6" t="str">
        <f t="shared" si="5"/>
        <v/>
      </c>
    </row>
    <row r="189" spans="1:10" ht="16.5" customHeight="1">
      <c r="A189" s="4"/>
      <c r="B189" s="2"/>
      <c r="C189" s="2"/>
      <c r="D189" s="2"/>
      <c r="E189" s="5"/>
      <c r="F189" s="7"/>
      <c r="G189" s="4"/>
      <c r="H189" s="2"/>
      <c r="I189" s="2"/>
      <c r="J189" s="6" t="str">
        <f t="shared" si="5"/>
        <v/>
      </c>
    </row>
    <row r="190" spans="1:10" ht="16.5" customHeight="1">
      <c r="A190" s="4"/>
      <c r="B190" s="2"/>
      <c r="C190" s="2"/>
      <c r="D190" s="2"/>
      <c r="E190" s="5"/>
      <c r="F190" s="7"/>
      <c r="G190" s="4"/>
      <c r="H190" s="2"/>
      <c r="I190" s="2"/>
      <c r="J190" s="6" t="str">
        <f t="shared" si="5"/>
        <v/>
      </c>
    </row>
    <row r="191" spans="1:10" ht="16.5" customHeight="1">
      <c r="A191" s="4"/>
      <c r="B191" s="2"/>
      <c r="C191" s="2"/>
      <c r="D191" s="2"/>
      <c r="E191" s="5"/>
      <c r="F191" s="7"/>
      <c r="G191" s="4"/>
      <c r="H191" s="2"/>
      <c r="I191" s="2"/>
      <c r="J191" s="6" t="str">
        <f t="shared" si="5"/>
        <v/>
      </c>
    </row>
    <row r="192" spans="1:10" ht="16.5" customHeight="1">
      <c r="A192" s="4"/>
      <c r="B192" s="2"/>
      <c r="C192" s="2"/>
      <c r="D192" s="2"/>
      <c r="E192" s="5"/>
      <c r="F192" s="7"/>
      <c r="G192" s="4"/>
      <c r="H192" s="2"/>
      <c r="I192" s="2"/>
      <c r="J192" s="6" t="str">
        <f t="shared" si="5"/>
        <v/>
      </c>
    </row>
    <row r="193" spans="1:10" ht="16.5" customHeight="1">
      <c r="A193" s="4"/>
      <c r="B193" s="2"/>
      <c r="C193" s="2"/>
      <c r="D193" s="2"/>
      <c r="E193" s="5"/>
      <c r="F193" s="7"/>
      <c r="G193" s="4"/>
      <c r="H193" s="2"/>
      <c r="I193" s="2"/>
      <c r="J193" s="6" t="str">
        <f t="shared" si="5"/>
        <v/>
      </c>
    </row>
    <row r="194" spans="1:10" ht="16.5" customHeight="1">
      <c r="A194" s="4"/>
      <c r="B194" s="2"/>
      <c r="C194" s="2"/>
      <c r="D194" s="2"/>
      <c r="E194" s="5"/>
      <c r="F194" s="7"/>
      <c r="G194" s="4"/>
      <c r="H194" s="2"/>
      <c r="I194" s="2"/>
      <c r="J194" s="6" t="str">
        <f t="shared" si="5"/>
        <v/>
      </c>
    </row>
    <row r="195" spans="1:10" ht="16.5" customHeight="1">
      <c r="A195" s="4"/>
      <c r="B195" s="2"/>
      <c r="C195" s="2"/>
      <c r="D195" s="2"/>
      <c r="E195" s="5"/>
      <c r="F195" s="7"/>
      <c r="G195" s="4"/>
      <c r="H195" s="2"/>
      <c r="I195" s="2"/>
      <c r="J195" s="6" t="str">
        <f t="shared" si="5"/>
        <v/>
      </c>
    </row>
    <row r="196" spans="1:10" ht="16.5" customHeight="1">
      <c r="A196" s="4"/>
      <c r="B196" s="2"/>
      <c r="C196" s="2"/>
      <c r="D196" s="2"/>
      <c r="E196" s="5"/>
      <c r="F196" s="7"/>
      <c r="G196" s="4"/>
      <c r="H196" s="2"/>
      <c r="I196" s="2"/>
      <c r="J196" s="6" t="str">
        <f t="shared" si="5"/>
        <v/>
      </c>
    </row>
    <row r="197" spans="1:10" ht="16.5" customHeight="1">
      <c r="A197" s="4"/>
      <c r="B197" s="2"/>
      <c r="C197" s="2"/>
      <c r="D197" s="2"/>
      <c r="E197" s="5"/>
      <c r="F197" s="7"/>
      <c r="G197" s="4"/>
      <c r="H197" s="2"/>
      <c r="I197" s="2"/>
      <c r="J197" s="6" t="str">
        <f t="shared" si="5"/>
        <v/>
      </c>
    </row>
    <row r="198" spans="1:10" ht="16.5" customHeight="1">
      <c r="A198" s="4"/>
      <c r="B198" s="2"/>
      <c r="C198" s="2"/>
      <c r="D198" s="2"/>
      <c r="E198" s="5"/>
      <c r="F198" s="7"/>
      <c r="G198" s="4"/>
      <c r="H198" s="2"/>
      <c r="I198" s="2"/>
      <c r="J198" s="6" t="str">
        <f t="shared" ref="J198:J205" si="6">IF(A198="","",TEXT(A198,"yyyy-mm"))</f>
        <v/>
      </c>
    </row>
    <row r="199" spans="1:10" ht="16.5" customHeight="1">
      <c r="A199" s="4"/>
      <c r="B199" s="2"/>
      <c r="C199" s="2"/>
      <c r="D199" s="2"/>
      <c r="E199" s="5"/>
      <c r="F199" s="7"/>
      <c r="G199" s="4"/>
      <c r="H199" s="2"/>
      <c r="I199" s="2"/>
      <c r="J199" s="6" t="str">
        <f t="shared" si="6"/>
        <v/>
      </c>
    </row>
    <row r="200" spans="1:10" ht="16.5" customHeight="1">
      <c r="A200" s="4"/>
      <c r="B200" s="2"/>
      <c r="C200" s="2"/>
      <c r="D200" s="2"/>
      <c r="E200" s="5"/>
      <c r="F200" s="7"/>
      <c r="G200" s="4"/>
      <c r="H200" s="2"/>
      <c r="I200" s="2"/>
      <c r="J200" s="6" t="str">
        <f t="shared" si="6"/>
        <v/>
      </c>
    </row>
    <row r="201" spans="1:10" ht="16.5" customHeight="1">
      <c r="A201" s="4"/>
      <c r="B201" s="2"/>
      <c r="C201" s="2"/>
      <c r="D201" s="2"/>
      <c r="E201" s="5"/>
      <c r="F201" s="7"/>
      <c r="G201" s="4"/>
      <c r="H201" s="2"/>
      <c r="I201" s="2"/>
      <c r="J201" s="6" t="str">
        <f t="shared" si="6"/>
        <v/>
      </c>
    </row>
    <row r="202" spans="1:10" ht="16.5" customHeight="1">
      <c r="A202" s="4"/>
      <c r="B202" s="2"/>
      <c r="C202" s="2"/>
      <c r="D202" s="2"/>
      <c r="E202" s="5"/>
      <c r="F202" s="7"/>
      <c r="G202" s="4"/>
      <c r="H202" s="2"/>
      <c r="I202" s="2"/>
      <c r="J202" s="6" t="str">
        <f t="shared" si="6"/>
        <v/>
      </c>
    </row>
    <row r="203" spans="1:10" ht="16.5" customHeight="1">
      <c r="A203" s="4"/>
      <c r="B203" s="2"/>
      <c r="C203" s="2"/>
      <c r="D203" s="2"/>
      <c r="E203" s="5"/>
      <c r="F203" s="7"/>
      <c r="G203" s="4"/>
      <c r="H203" s="2"/>
      <c r="I203" s="2"/>
      <c r="J203" s="6" t="str">
        <f t="shared" si="6"/>
        <v/>
      </c>
    </row>
    <row r="204" spans="1:10" ht="16.5" customHeight="1">
      <c r="A204" s="4"/>
      <c r="B204" s="2"/>
      <c r="C204" s="2"/>
      <c r="D204" s="2"/>
      <c r="E204" s="5"/>
      <c r="F204" s="7"/>
      <c r="G204" s="4"/>
      <c r="H204" s="2"/>
      <c r="I204" s="2"/>
      <c r="J204" s="6" t="str">
        <f t="shared" si="6"/>
        <v/>
      </c>
    </row>
    <row r="205" spans="1:10" ht="16.5" customHeight="1">
      <c r="A205" s="4"/>
      <c r="B205" s="2"/>
      <c r="C205" s="2"/>
      <c r="D205" s="2"/>
      <c r="E205" s="5"/>
      <c r="F205" s="7"/>
      <c r="G205" s="4"/>
      <c r="H205" s="2"/>
      <c r="I205" s="2"/>
      <c r="J205" s="6" t="str">
        <f t="shared" si="6"/>
        <v/>
      </c>
    </row>
  </sheetData>
  <mergeCells count="3">
    <mergeCell ref="A1:J1"/>
    <mergeCell ref="A2:J2"/>
    <mergeCell ref="A4:J4"/>
  </mergeCells>
  <conditionalFormatting sqref="E6:E205">
    <cfRule type="cellIs" dxfId="1" priority="1" operator="greaterThan">
      <formula>100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Listas!$A$4:$A$13</xm:f>
          </x14:formula1>
          <xm:sqref>C6:C205</xm:sqref>
        </x14:dataValidation>
        <x14:dataValidation type="list" xr:uid="{00000000-0002-0000-0200-000001000000}">
          <x14:formula1>
            <xm:f>Listas!$D$4:$D$8</xm:f>
          </x14:formula1>
          <xm:sqref>D6:D205</xm:sqref>
        </x14:dataValidation>
        <x14:dataValidation type="list" xr:uid="{00000000-0002-0000-0200-000002000000}">
          <x14:formula1>
            <xm:f>Listas!$B$4:$B$6</xm:f>
          </x14:formula1>
          <xm:sqref>H6:H205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5"/>
  <sheetViews>
    <sheetView showGridLines="0" workbookViewId="0"/>
  </sheetViews>
  <sheetFormatPr defaultRowHeight="13.8"/>
  <cols>
    <col min="1" max="1" width="11.19921875" customWidth="1"/>
    <col min="2" max="2" width="13.09765625" customWidth="1"/>
    <col min="3" max="3" width="26.19921875" customWidth="1"/>
    <col min="4" max="4" width="16.8984375" customWidth="1"/>
    <col min="5" max="5" width="18.09765625" customWidth="1"/>
    <col min="6" max="7" width="13.69921875" customWidth="1"/>
    <col min="8" max="8" width="11.19921875" customWidth="1"/>
    <col min="9" max="9" width="26.19921875" customWidth="1"/>
  </cols>
  <sheetData>
    <row r="1" spans="1:9" ht="27" customHeight="1">
      <c r="A1" s="29" t="s">
        <v>72</v>
      </c>
      <c r="B1" s="29" t="s">
        <v>72</v>
      </c>
      <c r="C1" s="29" t="s">
        <v>72</v>
      </c>
      <c r="D1" s="29" t="s">
        <v>72</v>
      </c>
      <c r="E1" s="29" t="s">
        <v>72</v>
      </c>
      <c r="F1" s="29" t="s">
        <v>72</v>
      </c>
      <c r="G1" s="29" t="s">
        <v>72</v>
      </c>
      <c r="H1" s="29" t="s">
        <v>72</v>
      </c>
      <c r="I1" s="29" t="s">
        <v>72</v>
      </c>
    </row>
    <row r="2" spans="1:9">
      <c r="A2" s="30" t="s">
        <v>73</v>
      </c>
      <c r="B2" s="30" t="s">
        <v>73</v>
      </c>
      <c r="C2" s="30" t="s">
        <v>73</v>
      </c>
      <c r="D2" s="30" t="s">
        <v>73</v>
      </c>
      <c r="E2" s="30" t="s">
        <v>73</v>
      </c>
      <c r="F2" s="30" t="s">
        <v>73</v>
      </c>
      <c r="G2" s="30" t="s">
        <v>73</v>
      </c>
      <c r="H2" s="30" t="s">
        <v>73</v>
      </c>
      <c r="I2" s="30" t="s">
        <v>73</v>
      </c>
    </row>
    <row r="5" spans="1:9" ht="21" customHeight="1">
      <c r="A5" s="1" t="s">
        <v>74</v>
      </c>
      <c r="B5" s="1" t="s">
        <v>44</v>
      </c>
      <c r="C5" s="1" t="s">
        <v>45</v>
      </c>
      <c r="D5" s="1" t="s">
        <v>17</v>
      </c>
      <c r="E5" s="1" t="s">
        <v>75</v>
      </c>
      <c r="F5" s="1" t="s">
        <v>3</v>
      </c>
      <c r="G5" s="1" t="s">
        <v>47</v>
      </c>
      <c r="H5" s="1" t="s">
        <v>13</v>
      </c>
      <c r="I5" s="1" t="s">
        <v>48</v>
      </c>
    </row>
    <row r="6" spans="1:9" ht="16.5" customHeight="1">
      <c r="A6" s="2" t="str">
        <f>IF(Débito!A6="","","Débito")</f>
        <v>Débito</v>
      </c>
      <c r="B6" s="4">
        <f>IF(Débito!A6="","",Débito!A6)</f>
        <v>46174</v>
      </c>
      <c r="C6" s="2" t="str">
        <f>IF(Débito!A6="","",Débito!B6)</f>
        <v>Café da manhã</v>
      </c>
      <c r="D6" s="2" t="str">
        <f>IF(Débito!A6="","",Débito!C6)</f>
        <v>Alimentação</v>
      </c>
      <c r="E6" s="2" t="str">
        <f>IF(Débito!A6="","",Débito!D6)</f>
        <v>Pix</v>
      </c>
      <c r="F6" s="5">
        <f>IF(Débito!A6="","",Débito!E6)</f>
        <v>18.5</v>
      </c>
      <c r="G6" s="2" t="str">
        <f>IF(Débito!A6="","",Débito!F6)</f>
        <v>Pago</v>
      </c>
      <c r="H6" s="2" t="str">
        <f>IF(Débito!A6="","",Débito!H6)</f>
        <v>yyyy-06</v>
      </c>
      <c r="I6" s="2" t="str">
        <f>IF(Débito!A6="","",Débito!G6)</f>
        <v>Exemplo</v>
      </c>
    </row>
    <row r="7" spans="1:9" ht="16.5" customHeight="1">
      <c r="A7" s="2" t="str">
        <f>IF(Débito!A7="","","Débito")</f>
        <v>Débito</v>
      </c>
      <c r="B7" s="4">
        <f>IF(Débito!A7="","",Débito!A7)</f>
        <v>46175</v>
      </c>
      <c r="C7" s="2" t="str">
        <f>IF(Débito!A7="","",Débito!B7)</f>
        <v>Ônibus</v>
      </c>
      <c r="D7" s="2" t="str">
        <f>IF(Débito!A7="","",Débito!C7)</f>
        <v>Transporte</v>
      </c>
      <c r="E7" s="2" t="str">
        <f>IF(Débito!A7="","",Débito!D7)</f>
        <v>Conta corrente</v>
      </c>
      <c r="F7" s="5">
        <f>IF(Débito!A7="","",Débito!E7)</f>
        <v>5.2</v>
      </c>
      <c r="G7" s="2" t="str">
        <f>IF(Débito!A7="","",Débito!F7)</f>
        <v>Pago</v>
      </c>
      <c r="H7" s="2" t="str">
        <f>IF(Débito!A7="","",Débito!H7)</f>
        <v>yyyy-06</v>
      </c>
      <c r="I7" s="2" t="str">
        <f>IF(Débito!A7="","",Débito!G7)</f>
        <v>Exemplo</v>
      </c>
    </row>
    <row r="8" spans="1:9" ht="16.5" customHeight="1">
      <c r="A8" s="2" t="str">
        <f>IF(Débito!A8="","","Débito")</f>
        <v>Débito</v>
      </c>
      <c r="B8" s="4">
        <f>IF(Débito!A8="","",Débito!A8)</f>
        <v>46176</v>
      </c>
      <c r="C8" s="2" t="str">
        <f>IF(Débito!A8="","",Débito!B8)</f>
        <v>Mercado</v>
      </c>
      <c r="D8" s="2" t="str">
        <f>IF(Débito!A8="","",Débito!C8)</f>
        <v>Mercado</v>
      </c>
      <c r="E8" s="2" t="str">
        <f>IF(Débito!A8="","",Débito!D8)</f>
        <v>Cartão débito</v>
      </c>
      <c r="F8" s="5">
        <f>IF(Débito!A8="","",Débito!E8)</f>
        <v>86.4</v>
      </c>
      <c r="G8" s="2" t="str">
        <f>IF(Débito!A8="","",Débito!F8)</f>
        <v>Pago</v>
      </c>
      <c r="H8" s="2" t="str">
        <f>IF(Débito!A8="","",Débito!H8)</f>
        <v>yyyy-06</v>
      </c>
      <c r="I8" s="2" t="str">
        <f>IF(Débito!A8="","",Débito!G8)</f>
        <v>Exemplo</v>
      </c>
    </row>
    <row r="9" spans="1:9" ht="16.5" customHeight="1">
      <c r="A9" s="2" t="str">
        <f>IF(Débito!A9="","","Débito")</f>
        <v>Débito</v>
      </c>
      <c r="B9" s="4">
        <f>IF(Débito!A9="","",Débito!A9)</f>
        <v>46177</v>
      </c>
      <c r="C9" s="2" t="str">
        <f>IF(Débito!A9="","",Débito!B9)</f>
        <v>Farmácia</v>
      </c>
      <c r="D9" s="2" t="str">
        <f>IF(Débito!A9="","",Débito!C9)</f>
        <v>Saúde</v>
      </c>
      <c r="E9" s="2" t="str">
        <f>IF(Débito!A9="","",Débito!D9)</f>
        <v>Pix</v>
      </c>
      <c r="F9" s="5">
        <f>IF(Débito!A9="","",Débito!E9)</f>
        <v>42.9</v>
      </c>
      <c r="G9" s="2" t="str">
        <f>IF(Débito!A9="","",Débito!F9)</f>
        <v>Pago</v>
      </c>
      <c r="H9" s="2" t="str">
        <f>IF(Débito!A9="","",Débito!H9)</f>
        <v>yyyy-06</v>
      </c>
      <c r="I9" s="2" t="str">
        <f>IF(Débito!A9="","",Débito!G9)</f>
        <v>Exemplo</v>
      </c>
    </row>
    <row r="10" spans="1:9" ht="16.5" customHeight="1">
      <c r="A10" s="2" t="str">
        <f>IF(Débito!A10="","","Débito")</f>
        <v/>
      </c>
      <c r="B10" s="4" t="str">
        <f>IF(Débito!A10="","",Débito!A10)</f>
        <v/>
      </c>
      <c r="C10" s="2" t="str">
        <f>IF(Débito!A10="","",Débito!B10)</f>
        <v/>
      </c>
      <c r="D10" s="2" t="str">
        <f>IF(Débito!A10="","",Débito!C10)</f>
        <v/>
      </c>
      <c r="E10" s="2" t="str">
        <f>IF(Débito!A10="","",Débito!D10)</f>
        <v/>
      </c>
      <c r="F10" s="5" t="str">
        <f>IF(Débito!A10="","",Débito!E10)</f>
        <v/>
      </c>
      <c r="G10" s="2" t="str">
        <f>IF(Débito!A10="","",Débito!F10)</f>
        <v/>
      </c>
      <c r="H10" s="2" t="str">
        <f>IF(Débito!A10="","",Débito!H10)</f>
        <v/>
      </c>
      <c r="I10" s="2" t="str">
        <f>IF(Débito!A10="","",Débito!G10)</f>
        <v/>
      </c>
    </row>
    <row r="11" spans="1:9" ht="16.5" customHeight="1">
      <c r="A11" s="2" t="str">
        <f>IF(Débito!A11="","","Débito")</f>
        <v/>
      </c>
      <c r="B11" s="4" t="str">
        <f>IF(Débito!A11="","",Débito!A11)</f>
        <v/>
      </c>
      <c r="C11" s="2" t="str">
        <f>IF(Débito!A11="","",Débito!B11)</f>
        <v/>
      </c>
      <c r="D11" s="2" t="str">
        <f>IF(Débito!A11="","",Débito!C11)</f>
        <v/>
      </c>
      <c r="E11" s="2" t="str">
        <f>IF(Débito!A11="","",Débito!D11)</f>
        <v/>
      </c>
      <c r="F11" s="5" t="str">
        <f>IF(Débito!A11="","",Débito!E11)</f>
        <v/>
      </c>
      <c r="G11" s="2" t="str">
        <f>IF(Débito!A11="","",Débito!F11)</f>
        <v/>
      </c>
      <c r="H11" s="2" t="str">
        <f>IF(Débito!A11="","",Débito!H11)</f>
        <v/>
      </c>
      <c r="I11" s="2" t="str">
        <f>IF(Débito!A11="","",Débito!G11)</f>
        <v/>
      </c>
    </row>
    <row r="12" spans="1:9" ht="16.5" customHeight="1">
      <c r="A12" s="2" t="str">
        <f>IF(Débito!A12="","","Débito")</f>
        <v/>
      </c>
      <c r="B12" s="4" t="str">
        <f>IF(Débito!A12="","",Débito!A12)</f>
        <v/>
      </c>
      <c r="C12" s="2" t="str">
        <f>IF(Débito!A12="","",Débito!B12)</f>
        <v/>
      </c>
      <c r="D12" s="2" t="str">
        <f>IF(Débito!A12="","",Débito!C12)</f>
        <v/>
      </c>
      <c r="E12" s="2" t="str">
        <f>IF(Débito!A12="","",Débito!D12)</f>
        <v/>
      </c>
      <c r="F12" s="5" t="str">
        <f>IF(Débito!A12="","",Débito!E12)</f>
        <v/>
      </c>
      <c r="G12" s="2" t="str">
        <f>IF(Débito!A12="","",Débito!F12)</f>
        <v/>
      </c>
      <c r="H12" s="2" t="str">
        <f>IF(Débito!A12="","",Débito!H12)</f>
        <v/>
      </c>
      <c r="I12" s="2" t="str">
        <f>IF(Débito!A12="","",Débito!G12)</f>
        <v/>
      </c>
    </row>
    <row r="13" spans="1:9" ht="16.5" customHeight="1">
      <c r="A13" s="2" t="str">
        <f>IF(Débito!A13="","","Débito")</f>
        <v/>
      </c>
      <c r="B13" s="4" t="str">
        <f>IF(Débito!A13="","",Débito!A13)</f>
        <v/>
      </c>
      <c r="C13" s="2" t="str">
        <f>IF(Débito!A13="","",Débito!B13)</f>
        <v/>
      </c>
      <c r="D13" s="2" t="str">
        <f>IF(Débito!A13="","",Débito!C13)</f>
        <v/>
      </c>
      <c r="E13" s="2" t="str">
        <f>IF(Débito!A13="","",Débito!D13)</f>
        <v/>
      </c>
      <c r="F13" s="5" t="str">
        <f>IF(Débito!A13="","",Débito!E13)</f>
        <v/>
      </c>
      <c r="G13" s="2" t="str">
        <f>IF(Débito!A13="","",Débito!F13)</f>
        <v/>
      </c>
      <c r="H13" s="2" t="str">
        <f>IF(Débito!A13="","",Débito!H13)</f>
        <v/>
      </c>
      <c r="I13" s="2" t="str">
        <f>IF(Débito!A13="","",Débito!G13)</f>
        <v/>
      </c>
    </row>
    <row r="14" spans="1:9" ht="16.5" customHeight="1">
      <c r="A14" s="2" t="str">
        <f>IF(Débito!A14="","","Débito")</f>
        <v/>
      </c>
      <c r="B14" s="4" t="str">
        <f>IF(Débito!A14="","",Débito!A14)</f>
        <v/>
      </c>
      <c r="C14" s="2" t="str">
        <f>IF(Débito!A14="","",Débito!B14)</f>
        <v/>
      </c>
      <c r="D14" s="2" t="str">
        <f>IF(Débito!A14="","",Débito!C14)</f>
        <v/>
      </c>
      <c r="E14" s="2" t="str">
        <f>IF(Débito!A14="","",Débito!D14)</f>
        <v/>
      </c>
      <c r="F14" s="5" t="str">
        <f>IF(Débito!A14="","",Débito!E14)</f>
        <v/>
      </c>
      <c r="G14" s="2" t="str">
        <f>IF(Débito!A14="","",Débito!F14)</f>
        <v/>
      </c>
      <c r="H14" s="2" t="str">
        <f>IF(Débito!A14="","",Débito!H14)</f>
        <v/>
      </c>
      <c r="I14" s="2" t="str">
        <f>IF(Débito!A14="","",Débito!G14)</f>
        <v/>
      </c>
    </row>
    <row r="15" spans="1:9" ht="16.5" customHeight="1">
      <c r="A15" s="2" t="str">
        <f>IF(Débito!A15="","","Débito")</f>
        <v/>
      </c>
      <c r="B15" s="4" t="str">
        <f>IF(Débito!A15="","",Débito!A15)</f>
        <v/>
      </c>
      <c r="C15" s="2" t="str">
        <f>IF(Débito!A15="","",Débito!B15)</f>
        <v/>
      </c>
      <c r="D15" s="2" t="str">
        <f>IF(Débito!A15="","",Débito!C15)</f>
        <v/>
      </c>
      <c r="E15" s="2" t="str">
        <f>IF(Débito!A15="","",Débito!D15)</f>
        <v/>
      </c>
      <c r="F15" s="5" t="str">
        <f>IF(Débito!A15="","",Débito!E15)</f>
        <v/>
      </c>
      <c r="G15" s="2" t="str">
        <f>IF(Débito!A15="","",Débito!F15)</f>
        <v/>
      </c>
      <c r="H15" s="2" t="str">
        <f>IF(Débito!A15="","",Débito!H15)</f>
        <v/>
      </c>
      <c r="I15" s="2" t="str">
        <f>IF(Débito!A15="","",Débito!G15)</f>
        <v/>
      </c>
    </row>
    <row r="16" spans="1:9" ht="16.5" customHeight="1">
      <c r="A16" s="2" t="str">
        <f>IF(Débito!A16="","","Débito")</f>
        <v/>
      </c>
      <c r="B16" s="4" t="str">
        <f>IF(Débito!A16="","",Débito!A16)</f>
        <v/>
      </c>
      <c r="C16" s="2" t="str">
        <f>IF(Débito!A16="","",Débito!B16)</f>
        <v/>
      </c>
      <c r="D16" s="2" t="str">
        <f>IF(Débito!A16="","",Débito!C16)</f>
        <v/>
      </c>
      <c r="E16" s="2" t="str">
        <f>IF(Débito!A16="","",Débito!D16)</f>
        <v/>
      </c>
      <c r="F16" s="5" t="str">
        <f>IF(Débito!A16="","",Débito!E16)</f>
        <v/>
      </c>
      <c r="G16" s="2" t="str">
        <f>IF(Débito!A16="","",Débito!F16)</f>
        <v/>
      </c>
      <c r="H16" s="2" t="str">
        <f>IF(Débito!A16="","",Débito!H16)</f>
        <v/>
      </c>
      <c r="I16" s="2" t="str">
        <f>IF(Débito!A16="","",Débito!G16)</f>
        <v/>
      </c>
    </row>
    <row r="17" spans="1:9" ht="16.5" customHeight="1">
      <c r="A17" s="2" t="str">
        <f>IF(Débito!A17="","","Débito")</f>
        <v/>
      </c>
      <c r="B17" s="4" t="str">
        <f>IF(Débito!A17="","",Débito!A17)</f>
        <v/>
      </c>
      <c r="C17" s="2" t="str">
        <f>IF(Débito!A17="","",Débito!B17)</f>
        <v/>
      </c>
      <c r="D17" s="2" t="str">
        <f>IF(Débito!A17="","",Débito!C17)</f>
        <v/>
      </c>
      <c r="E17" s="2" t="str">
        <f>IF(Débito!A17="","",Débito!D17)</f>
        <v/>
      </c>
      <c r="F17" s="5" t="str">
        <f>IF(Débito!A17="","",Débito!E17)</f>
        <v/>
      </c>
      <c r="G17" s="2" t="str">
        <f>IF(Débito!A17="","",Débito!F17)</f>
        <v/>
      </c>
      <c r="H17" s="2" t="str">
        <f>IF(Débito!A17="","",Débito!H17)</f>
        <v/>
      </c>
      <c r="I17" s="2" t="str">
        <f>IF(Débito!A17="","",Débito!G17)</f>
        <v/>
      </c>
    </row>
    <row r="18" spans="1:9" ht="16.5" customHeight="1">
      <c r="A18" s="2" t="str">
        <f>IF(Débito!A18="","","Débito")</f>
        <v/>
      </c>
      <c r="B18" s="4" t="str">
        <f>IF(Débito!A18="","",Débito!A18)</f>
        <v/>
      </c>
      <c r="C18" s="2" t="str">
        <f>IF(Débito!A18="","",Débito!B18)</f>
        <v/>
      </c>
      <c r="D18" s="2" t="str">
        <f>IF(Débito!A18="","",Débito!C18)</f>
        <v/>
      </c>
      <c r="E18" s="2" t="str">
        <f>IF(Débito!A18="","",Débito!D18)</f>
        <v/>
      </c>
      <c r="F18" s="5" t="str">
        <f>IF(Débito!A18="","",Débito!E18)</f>
        <v/>
      </c>
      <c r="G18" s="2" t="str">
        <f>IF(Débito!A18="","",Débito!F18)</f>
        <v/>
      </c>
      <c r="H18" s="2" t="str">
        <f>IF(Débito!A18="","",Débito!H18)</f>
        <v/>
      </c>
      <c r="I18" s="2" t="str">
        <f>IF(Débito!A18="","",Débito!G18)</f>
        <v/>
      </c>
    </row>
    <row r="19" spans="1:9" ht="16.5" customHeight="1">
      <c r="A19" s="2" t="str">
        <f>IF(Débito!A19="","","Débito")</f>
        <v/>
      </c>
      <c r="B19" s="4" t="str">
        <f>IF(Débito!A19="","",Débito!A19)</f>
        <v/>
      </c>
      <c r="C19" s="2" t="str">
        <f>IF(Débito!A19="","",Débito!B19)</f>
        <v/>
      </c>
      <c r="D19" s="2" t="str">
        <f>IF(Débito!A19="","",Débito!C19)</f>
        <v/>
      </c>
      <c r="E19" s="2" t="str">
        <f>IF(Débito!A19="","",Débito!D19)</f>
        <v/>
      </c>
      <c r="F19" s="5" t="str">
        <f>IF(Débito!A19="","",Débito!E19)</f>
        <v/>
      </c>
      <c r="G19" s="2" t="str">
        <f>IF(Débito!A19="","",Débito!F19)</f>
        <v/>
      </c>
      <c r="H19" s="2" t="str">
        <f>IF(Débito!A19="","",Débito!H19)</f>
        <v/>
      </c>
      <c r="I19" s="2" t="str">
        <f>IF(Débito!A19="","",Débito!G19)</f>
        <v/>
      </c>
    </row>
    <row r="20" spans="1:9" ht="16.5" customHeight="1">
      <c r="A20" s="2" t="str">
        <f>IF(Débito!A20="","","Débito")</f>
        <v/>
      </c>
      <c r="B20" s="4" t="str">
        <f>IF(Débito!A20="","",Débito!A20)</f>
        <v/>
      </c>
      <c r="C20" s="2" t="str">
        <f>IF(Débito!A20="","",Débito!B20)</f>
        <v/>
      </c>
      <c r="D20" s="2" t="str">
        <f>IF(Débito!A20="","",Débito!C20)</f>
        <v/>
      </c>
      <c r="E20" s="2" t="str">
        <f>IF(Débito!A20="","",Débito!D20)</f>
        <v/>
      </c>
      <c r="F20" s="5" t="str">
        <f>IF(Débito!A20="","",Débito!E20)</f>
        <v/>
      </c>
      <c r="G20" s="2" t="str">
        <f>IF(Débito!A20="","",Débito!F20)</f>
        <v/>
      </c>
      <c r="H20" s="2" t="str">
        <f>IF(Débito!A20="","",Débito!H20)</f>
        <v/>
      </c>
      <c r="I20" s="2" t="str">
        <f>IF(Débito!A20="","",Débito!G20)</f>
        <v/>
      </c>
    </row>
    <row r="21" spans="1:9" ht="16.5" customHeight="1">
      <c r="A21" s="2" t="str">
        <f>IF(Débito!A21="","","Débito")</f>
        <v/>
      </c>
      <c r="B21" s="4" t="str">
        <f>IF(Débito!A21="","",Débito!A21)</f>
        <v/>
      </c>
      <c r="C21" s="2" t="str">
        <f>IF(Débito!A21="","",Débito!B21)</f>
        <v/>
      </c>
      <c r="D21" s="2" t="str">
        <f>IF(Débito!A21="","",Débito!C21)</f>
        <v/>
      </c>
      <c r="E21" s="2" t="str">
        <f>IF(Débito!A21="","",Débito!D21)</f>
        <v/>
      </c>
      <c r="F21" s="5" t="str">
        <f>IF(Débito!A21="","",Débito!E21)</f>
        <v/>
      </c>
      <c r="G21" s="2" t="str">
        <f>IF(Débito!A21="","",Débito!F21)</f>
        <v/>
      </c>
      <c r="H21" s="2" t="str">
        <f>IF(Débito!A21="","",Débito!H21)</f>
        <v/>
      </c>
      <c r="I21" s="2" t="str">
        <f>IF(Débito!A21="","",Débito!G21)</f>
        <v/>
      </c>
    </row>
    <row r="22" spans="1:9" ht="16.5" customHeight="1">
      <c r="A22" s="2" t="str">
        <f>IF(Débito!A22="","","Débito")</f>
        <v/>
      </c>
      <c r="B22" s="4" t="str">
        <f>IF(Débito!A22="","",Débito!A22)</f>
        <v/>
      </c>
      <c r="C22" s="2" t="str">
        <f>IF(Débito!A22="","",Débito!B22)</f>
        <v/>
      </c>
      <c r="D22" s="2" t="str">
        <f>IF(Débito!A22="","",Débito!C22)</f>
        <v/>
      </c>
      <c r="E22" s="2" t="str">
        <f>IF(Débito!A22="","",Débito!D22)</f>
        <v/>
      </c>
      <c r="F22" s="5" t="str">
        <f>IF(Débito!A22="","",Débito!E22)</f>
        <v/>
      </c>
      <c r="G22" s="2" t="str">
        <f>IF(Débito!A22="","",Débito!F22)</f>
        <v/>
      </c>
      <c r="H22" s="2" t="str">
        <f>IF(Débito!A22="","",Débito!H22)</f>
        <v/>
      </c>
      <c r="I22" s="2" t="str">
        <f>IF(Débito!A22="","",Débito!G22)</f>
        <v/>
      </c>
    </row>
    <row r="23" spans="1:9" ht="16.5" customHeight="1">
      <c r="A23" s="2" t="str">
        <f>IF(Débito!A23="","","Débito")</f>
        <v/>
      </c>
      <c r="B23" s="4" t="str">
        <f>IF(Débito!A23="","",Débito!A23)</f>
        <v/>
      </c>
      <c r="C23" s="2" t="str">
        <f>IF(Débito!A23="","",Débito!B23)</f>
        <v/>
      </c>
      <c r="D23" s="2" t="str">
        <f>IF(Débito!A23="","",Débito!C23)</f>
        <v/>
      </c>
      <c r="E23" s="2" t="str">
        <f>IF(Débito!A23="","",Débito!D23)</f>
        <v/>
      </c>
      <c r="F23" s="5" t="str">
        <f>IF(Débito!A23="","",Débito!E23)</f>
        <v/>
      </c>
      <c r="G23" s="2" t="str">
        <f>IF(Débito!A23="","",Débito!F23)</f>
        <v/>
      </c>
      <c r="H23" s="2" t="str">
        <f>IF(Débito!A23="","",Débito!H23)</f>
        <v/>
      </c>
      <c r="I23" s="2" t="str">
        <f>IF(Débito!A23="","",Débito!G23)</f>
        <v/>
      </c>
    </row>
    <row r="24" spans="1:9" ht="16.5" customHeight="1">
      <c r="A24" s="2" t="str">
        <f>IF(Débito!A24="","","Débito")</f>
        <v/>
      </c>
      <c r="B24" s="4" t="str">
        <f>IF(Débito!A24="","",Débito!A24)</f>
        <v/>
      </c>
      <c r="C24" s="2" t="str">
        <f>IF(Débito!A24="","",Débito!B24)</f>
        <v/>
      </c>
      <c r="D24" s="2" t="str">
        <f>IF(Débito!A24="","",Débito!C24)</f>
        <v/>
      </c>
      <c r="E24" s="2" t="str">
        <f>IF(Débito!A24="","",Débito!D24)</f>
        <v/>
      </c>
      <c r="F24" s="5" t="str">
        <f>IF(Débito!A24="","",Débito!E24)</f>
        <v/>
      </c>
      <c r="G24" s="2" t="str">
        <f>IF(Débito!A24="","",Débito!F24)</f>
        <v/>
      </c>
      <c r="H24" s="2" t="str">
        <f>IF(Débito!A24="","",Débito!H24)</f>
        <v/>
      </c>
      <c r="I24" s="2" t="str">
        <f>IF(Débito!A24="","",Débito!G24)</f>
        <v/>
      </c>
    </row>
    <row r="25" spans="1:9" ht="16.5" customHeight="1">
      <c r="A25" s="2" t="str">
        <f>IF(Débito!A25="","","Débito")</f>
        <v/>
      </c>
      <c r="B25" s="4" t="str">
        <f>IF(Débito!A25="","",Débito!A25)</f>
        <v/>
      </c>
      <c r="C25" s="2" t="str">
        <f>IF(Débito!A25="","",Débito!B25)</f>
        <v/>
      </c>
      <c r="D25" s="2" t="str">
        <f>IF(Débito!A25="","",Débito!C25)</f>
        <v/>
      </c>
      <c r="E25" s="2" t="str">
        <f>IF(Débito!A25="","",Débito!D25)</f>
        <v/>
      </c>
      <c r="F25" s="5" t="str">
        <f>IF(Débito!A25="","",Débito!E25)</f>
        <v/>
      </c>
      <c r="G25" s="2" t="str">
        <f>IF(Débito!A25="","",Débito!F25)</f>
        <v/>
      </c>
      <c r="H25" s="2" t="str">
        <f>IF(Débito!A25="","",Débito!H25)</f>
        <v/>
      </c>
      <c r="I25" s="2" t="str">
        <f>IF(Débito!A25="","",Débito!G25)</f>
        <v/>
      </c>
    </row>
    <row r="26" spans="1:9" ht="16.5" customHeight="1">
      <c r="A26" s="2" t="str">
        <f>IF(Débito!A26="","","Débito")</f>
        <v/>
      </c>
      <c r="B26" s="4" t="str">
        <f>IF(Débito!A26="","",Débito!A26)</f>
        <v/>
      </c>
      <c r="C26" s="2" t="str">
        <f>IF(Débito!A26="","",Débito!B26)</f>
        <v/>
      </c>
      <c r="D26" s="2" t="str">
        <f>IF(Débito!A26="","",Débito!C26)</f>
        <v/>
      </c>
      <c r="E26" s="2" t="str">
        <f>IF(Débito!A26="","",Débito!D26)</f>
        <v/>
      </c>
      <c r="F26" s="5" t="str">
        <f>IF(Débito!A26="","",Débito!E26)</f>
        <v/>
      </c>
      <c r="G26" s="2" t="str">
        <f>IF(Débito!A26="","",Débito!F26)</f>
        <v/>
      </c>
      <c r="H26" s="2" t="str">
        <f>IF(Débito!A26="","",Débito!H26)</f>
        <v/>
      </c>
      <c r="I26" s="2" t="str">
        <f>IF(Débito!A26="","",Débito!G26)</f>
        <v/>
      </c>
    </row>
    <row r="27" spans="1:9" ht="16.5" customHeight="1">
      <c r="A27" s="2" t="str">
        <f>IF(Débito!A27="","","Débito")</f>
        <v/>
      </c>
      <c r="B27" s="4" t="str">
        <f>IF(Débito!A27="","",Débito!A27)</f>
        <v/>
      </c>
      <c r="C27" s="2" t="str">
        <f>IF(Débito!A27="","",Débito!B27)</f>
        <v/>
      </c>
      <c r="D27" s="2" t="str">
        <f>IF(Débito!A27="","",Débito!C27)</f>
        <v/>
      </c>
      <c r="E27" s="2" t="str">
        <f>IF(Débito!A27="","",Débito!D27)</f>
        <v/>
      </c>
      <c r="F27" s="5" t="str">
        <f>IF(Débito!A27="","",Débito!E27)</f>
        <v/>
      </c>
      <c r="G27" s="2" t="str">
        <f>IF(Débito!A27="","",Débito!F27)</f>
        <v/>
      </c>
      <c r="H27" s="2" t="str">
        <f>IF(Débito!A27="","",Débito!H27)</f>
        <v/>
      </c>
      <c r="I27" s="2" t="str">
        <f>IF(Débito!A27="","",Débito!G27)</f>
        <v/>
      </c>
    </row>
    <row r="28" spans="1:9" ht="16.5" customHeight="1">
      <c r="A28" s="2" t="str">
        <f>IF(Débito!A28="","","Débito")</f>
        <v/>
      </c>
      <c r="B28" s="4" t="str">
        <f>IF(Débito!A28="","",Débito!A28)</f>
        <v/>
      </c>
      <c r="C28" s="2" t="str">
        <f>IF(Débito!A28="","",Débito!B28)</f>
        <v/>
      </c>
      <c r="D28" s="2" t="str">
        <f>IF(Débito!A28="","",Débito!C28)</f>
        <v/>
      </c>
      <c r="E28" s="2" t="str">
        <f>IF(Débito!A28="","",Débito!D28)</f>
        <v/>
      </c>
      <c r="F28" s="5" t="str">
        <f>IF(Débito!A28="","",Débito!E28)</f>
        <v/>
      </c>
      <c r="G28" s="2" t="str">
        <f>IF(Débito!A28="","",Débito!F28)</f>
        <v/>
      </c>
      <c r="H28" s="2" t="str">
        <f>IF(Débito!A28="","",Débito!H28)</f>
        <v/>
      </c>
      <c r="I28" s="2" t="str">
        <f>IF(Débito!A28="","",Débito!G28)</f>
        <v/>
      </c>
    </row>
    <row r="29" spans="1:9" ht="16.5" customHeight="1">
      <c r="A29" s="2" t="str">
        <f>IF(Débito!A29="","","Débito")</f>
        <v/>
      </c>
      <c r="B29" s="4" t="str">
        <f>IF(Débito!A29="","",Débito!A29)</f>
        <v/>
      </c>
      <c r="C29" s="2" t="str">
        <f>IF(Débito!A29="","",Débito!B29)</f>
        <v/>
      </c>
      <c r="D29" s="2" t="str">
        <f>IF(Débito!A29="","",Débito!C29)</f>
        <v/>
      </c>
      <c r="E29" s="2" t="str">
        <f>IF(Débito!A29="","",Débito!D29)</f>
        <v/>
      </c>
      <c r="F29" s="5" t="str">
        <f>IF(Débito!A29="","",Débito!E29)</f>
        <v/>
      </c>
      <c r="G29" s="2" t="str">
        <f>IF(Débito!A29="","",Débito!F29)</f>
        <v/>
      </c>
      <c r="H29" s="2" t="str">
        <f>IF(Débito!A29="","",Débito!H29)</f>
        <v/>
      </c>
      <c r="I29" s="2" t="str">
        <f>IF(Débito!A29="","",Débito!G29)</f>
        <v/>
      </c>
    </row>
    <row r="30" spans="1:9" ht="16.5" customHeight="1">
      <c r="A30" s="2" t="str">
        <f>IF(Débito!A30="","","Débito")</f>
        <v/>
      </c>
      <c r="B30" s="4" t="str">
        <f>IF(Débito!A30="","",Débito!A30)</f>
        <v/>
      </c>
      <c r="C30" s="2" t="str">
        <f>IF(Débito!A30="","",Débito!B30)</f>
        <v/>
      </c>
      <c r="D30" s="2" t="str">
        <f>IF(Débito!A30="","",Débito!C30)</f>
        <v/>
      </c>
      <c r="E30" s="2" t="str">
        <f>IF(Débito!A30="","",Débito!D30)</f>
        <v/>
      </c>
      <c r="F30" s="5" t="str">
        <f>IF(Débito!A30="","",Débito!E30)</f>
        <v/>
      </c>
      <c r="G30" s="2" t="str">
        <f>IF(Débito!A30="","",Débito!F30)</f>
        <v/>
      </c>
      <c r="H30" s="2" t="str">
        <f>IF(Débito!A30="","",Débito!H30)</f>
        <v/>
      </c>
      <c r="I30" s="2" t="str">
        <f>IF(Débito!A30="","",Débito!G30)</f>
        <v/>
      </c>
    </row>
    <row r="31" spans="1:9" ht="16.5" customHeight="1">
      <c r="A31" s="2" t="str">
        <f>IF(Débito!A31="","","Débito")</f>
        <v/>
      </c>
      <c r="B31" s="4" t="str">
        <f>IF(Débito!A31="","",Débito!A31)</f>
        <v/>
      </c>
      <c r="C31" s="2" t="str">
        <f>IF(Débito!A31="","",Débito!B31)</f>
        <v/>
      </c>
      <c r="D31" s="2" t="str">
        <f>IF(Débito!A31="","",Débito!C31)</f>
        <v/>
      </c>
      <c r="E31" s="2" t="str">
        <f>IF(Débito!A31="","",Débito!D31)</f>
        <v/>
      </c>
      <c r="F31" s="5" t="str">
        <f>IF(Débito!A31="","",Débito!E31)</f>
        <v/>
      </c>
      <c r="G31" s="2" t="str">
        <f>IF(Débito!A31="","",Débito!F31)</f>
        <v/>
      </c>
      <c r="H31" s="2" t="str">
        <f>IF(Débito!A31="","",Débito!H31)</f>
        <v/>
      </c>
      <c r="I31" s="2" t="str">
        <f>IF(Débito!A31="","",Débito!G31)</f>
        <v/>
      </c>
    </row>
    <row r="32" spans="1:9" ht="16.5" customHeight="1">
      <c r="A32" s="2" t="str">
        <f>IF(Débito!A32="","","Débito")</f>
        <v/>
      </c>
      <c r="B32" s="4" t="str">
        <f>IF(Débito!A32="","",Débito!A32)</f>
        <v/>
      </c>
      <c r="C32" s="2" t="str">
        <f>IF(Débito!A32="","",Débito!B32)</f>
        <v/>
      </c>
      <c r="D32" s="2" t="str">
        <f>IF(Débito!A32="","",Débito!C32)</f>
        <v/>
      </c>
      <c r="E32" s="2" t="str">
        <f>IF(Débito!A32="","",Débito!D32)</f>
        <v/>
      </c>
      <c r="F32" s="5" t="str">
        <f>IF(Débito!A32="","",Débito!E32)</f>
        <v/>
      </c>
      <c r="G32" s="2" t="str">
        <f>IF(Débito!A32="","",Débito!F32)</f>
        <v/>
      </c>
      <c r="H32" s="2" t="str">
        <f>IF(Débito!A32="","",Débito!H32)</f>
        <v/>
      </c>
      <c r="I32" s="2" t="str">
        <f>IF(Débito!A32="","",Débito!G32)</f>
        <v/>
      </c>
    </row>
    <row r="33" spans="1:9" ht="16.5" customHeight="1">
      <c r="A33" s="2" t="str">
        <f>IF(Débito!A33="","","Débito")</f>
        <v/>
      </c>
      <c r="B33" s="4" t="str">
        <f>IF(Débito!A33="","",Débito!A33)</f>
        <v/>
      </c>
      <c r="C33" s="2" t="str">
        <f>IF(Débito!A33="","",Débito!B33)</f>
        <v/>
      </c>
      <c r="D33" s="2" t="str">
        <f>IF(Débito!A33="","",Débito!C33)</f>
        <v/>
      </c>
      <c r="E33" s="2" t="str">
        <f>IF(Débito!A33="","",Débito!D33)</f>
        <v/>
      </c>
      <c r="F33" s="5" t="str">
        <f>IF(Débito!A33="","",Débito!E33)</f>
        <v/>
      </c>
      <c r="G33" s="2" t="str">
        <f>IF(Débito!A33="","",Débito!F33)</f>
        <v/>
      </c>
      <c r="H33" s="2" t="str">
        <f>IF(Débito!A33="","",Débito!H33)</f>
        <v/>
      </c>
      <c r="I33" s="2" t="str">
        <f>IF(Débito!A33="","",Débito!G33)</f>
        <v/>
      </c>
    </row>
    <row r="34" spans="1:9" ht="16.5" customHeight="1">
      <c r="A34" s="2" t="str">
        <f>IF(Débito!A34="","","Débito")</f>
        <v/>
      </c>
      <c r="B34" s="4" t="str">
        <f>IF(Débito!A34="","",Débito!A34)</f>
        <v/>
      </c>
      <c r="C34" s="2" t="str">
        <f>IF(Débito!A34="","",Débito!B34)</f>
        <v/>
      </c>
      <c r="D34" s="2" t="str">
        <f>IF(Débito!A34="","",Débito!C34)</f>
        <v/>
      </c>
      <c r="E34" s="2" t="str">
        <f>IF(Débito!A34="","",Débito!D34)</f>
        <v/>
      </c>
      <c r="F34" s="5" t="str">
        <f>IF(Débito!A34="","",Débito!E34)</f>
        <v/>
      </c>
      <c r="G34" s="2" t="str">
        <f>IF(Débito!A34="","",Débito!F34)</f>
        <v/>
      </c>
      <c r="H34" s="2" t="str">
        <f>IF(Débito!A34="","",Débito!H34)</f>
        <v/>
      </c>
      <c r="I34" s="2" t="str">
        <f>IF(Débito!A34="","",Débito!G34)</f>
        <v/>
      </c>
    </row>
    <row r="35" spans="1:9" ht="16.5" customHeight="1">
      <c r="A35" s="2" t="str">
        <f>IF(Débito!A35="","","Débito")</f>
        <v/>
      </c>
      <c r="B35" s="4" t="str">
        <f>IF(Débito!A35="","",Débito!A35)</f>
        <v/>
      </c>
      <c r="C35" s="2" t="str">
        <f>IF(Débito!A35="","",Débito!B35)</f>
        <v/>
      </c>
      <c r="D35" s="2" t="str">
        <f>IF(Débito!A35="","",Débito!C35)</f>
        <v/>
      </c>
      <c r="E35" s="2" t="str">
        <f>IF(Débito!A35="","",Débito!D35)</f>
        <v/>
      </c>
      <c r="F35" s="5" t="str">
        <f>IF(Débito!A35="","",Débito!E35)</f>
        <v/>
      </c>
      <c r="G35" s="2" t="str">
        <f>IF(Débito!A35="","",Débito!F35)</f>
        <v/>
      </c>
      <c r="H35" s="2" t="str">
        <f>IF(Débito!A35="","",Débito!H35)</f>
        <v/>
      </c>
      <c r="I35" s="2" t="str">
        <f>IF(Débito!A35="","",Débito!G35)</f>
        <v/>
      </c>
    </row>
    <row r="36" spans="1:9" ht="16.5" customHeight="1">
      <c r="A36" s="2" t="str">
        <f>IF(Débito!A36="","","Débito")</f>
        <v/>
      </c>
      <c r="B36" s="4" t="str">
        <f>IF(Débito!A36="","",Débito!A36)</f>
        <v/>
      </c>
      <c r="C36" s="2" t="str">
        <f>IF(Débito!A36="","",Débito!B36)</f>
        <v/>
      </c>
      <c r="D36" s="2" t="str">
        <f>IF(Débito!A36="","",Débito!C36)</f>
        <v/>
      </c>
      <c r="E36" s="2" t="str">
        <f>IF(Débito!A36="","",Débito!D36)</f>
        <v/>
      </c>
      <c r="F36" s="5" t="str">
        <f>IF(Débito!A36="","",Débito!E36)</f>
        <v/>
      </c>
      <c r="G36" s="2" t="str">
        <f>IF(Débito!A36="","",Débito!F36)</f>
        <v/>
      </c>
      <c r="H36" s="2" t="str">
        <f>IF(Débito!A36="","",Débito!H36)</f>
        <v/>
      </c>
      <c r="I36" s="2" t="str">
        <f>IF(Débito!A36="","",Débito!G36)</f>
        <v/>
      </c>
    </row>
    <row r="37" spans="1:9" ht="16.5" customHeight="1">
      <c r="A37" s="2" t="str">
        <f>IF(Débito!A37="","","Débito")</f>
        <v/>
      </c>
      <c r="B37" s="4" t="str">
        <f>IF(Débito!A37="","",Débito!A37)</f>
        <v/>
      </c>
      <c r="C37" s="2" t="str">
        <f>IF(Débito!A37="","",Débito!B37)</f>
        <v/>
      </c>
      <c r="D37" s="2" t="str">
        <f>IF(Débito!A37="","",Débito!C37)</f>
        <v/>
      </c>
      <c r="E37" s="2" t="str">
        <f>IF(Débito!A37="","",Débito!D37)</f>
        <v/>
      </c>
      <c r="F37" s="5" t="str">
        <f>IF(Débito!A37="","",Débito!E37)</f>
        <v/>
      </c>
      <c r="G37" s="2" t="str">
        <f>IF(Débito!A37="","",Débito!F37)</f>
        <v/>
      </c>
      <c r="H37" s="2" t="str">
        <f>IF(Débito!A37="","",Débito!H37)</f>
        <v/>
      </c>
      <c r="I37" s="2" t="str">
        <f>IF(Débito!A37="","",Débito!G37)</f>
        <v/>
      </c>
    </row>
    <row r="38" spans="1:9" ht="16.5" customHeight="1">
      <c r="A38" s="2" t="str">
        <f>IF(Débito!A38="","","Débito")</f>
        <v/>
      </c>
      <c r="B38" s="4" t="str">
        <f>IF(Débito!A38="","",Débito!A38)</f>
        <v/>
      </c>
      <c r="C38" s="2" t="str">
        <f>IF(Débito!A38="","",Débito!B38)</f>
        <v/>
      </c>
      <c r="D38" s="2" t="str">
        <f>IF(Débito!A38="","",Débito!C38)</f>
        <v/>
      </c>
      <c r="E38" s="2" t="str">
        <f>IF(Débito!A38="","",Débito!D38)</f>
        <v/>
      </c>
      <c r="F38" s="5" t="str">
        <f>IF(Débito!A38="","",Débito!E38)</f>
        <v/>
      </c>
      <c r="G38" s="2" t="str">
        <f>IF(Débito!A38="","",Débito!F38)</f>
        <v/>
      </c>
      <c r="H38" s="2" t="str">
        <f>IF(Débito!A38="","",Débito!H38)</f>
        <v/>
      </c>
      <c r="I38" s="2" t="str">
        <f>IF(Débito!A38="","",Débito!G38)</f>
        <v/>
      </c>
    </row>
    <row r="39" spans="1:9" ht="16.5" customHeight="1">
      <c r="A39" s="2" t="str">
        <f>IF(Débito!A39="","","Débito")</f>
        <v/>
      </c>
      <c r="B39" s="4" t="str">
        <f>IF(Débito!A39="","",Débito!A39)</f>
        <v/>
      </c>
      <c r="C39" s="2" t="str">
        <f>IF(Débito!A39="","",Débito!B39)</f>
        <v/>
      </c>
      <c r="D39" s="2" t="str">
        <f>IF(Débito!A39="","",Débito!C39)</f>
        <v/>
      </c>
      <c r="E39" s="2" t="str">
        <f>IF(Débito!A39="","",Débito!D39)</f>
        <v/>
      </c>
      <c r="F39" s="5" t="str">
        <f>IF(Débito!A39="","",Débito!E39)</f>
        <v/>
      </c>
      <c r="G39" s="2" t="str">
        <f>IF(Débito!A39="","",Débito!F39)</f>
        <v/>
      </c>
      <c r="H39" s="2" t="str">
        <f>IF(Débito!A39="","",Débito!H39)</f>
        <v/>
      </c>
      <c r="I39" s="2" t="str">
        <f>IF(Débito!A39="","",Débito!G39)</f>
        <v/>
      </c>
    </row>
    <row r="40" spans="1:9" ht="16.5" customHeight="1">
      <c r="A40" s="2" t="str">
        <f>IF(Débito!A40="","","Débito")</f>
        <v/>
      </c>
      <c r="B40" s="4" t="str">
        <f>IF(Débito!A40="","",Débito!A40)</f>
        <v/>
      </c>
      <c r="C40" s="2" t="str">
        <f>IF(Débito!A40="","",Débito!B40)</f>
        <v/>
      </c>
      <c r="D40" s="2" t="str">
        <f>IF(Débito!A40="","",Débito!C40)</f>
        <v/>
      </c>
      <c r="E40" s="2" t="str">
        <f>IF(Débito!A40="","",Débito!D40)</f>
        <v/>
      </c>
      <c r="F40" s="5" t="str">
        <f>IF(Débito!A40="","",Débito!E40)</f>
        <v/>
      </c>
      <c r="G40" s="2" t="str">
        <f>IF(Débito!A40="","",Débito!F40)</f>
        <v/>
      </c>
      <c r="H40" s="2" t="str">
        <f>IF(Débito!A40="","",Débito!H40)</f>
        <v/>
      </c>
      <c r="I40" s="2" t="str">
        <f>IF(Débito!A40="","",Débito!G40)</f>
        <v/>
      </c>
    </row>
    <row r="41" spans="1:9" ht="16.5" customHeight="1">
      <c r="A41" s="2" t="str">
        <f>IF(Débito!A41="","","Débito")</f>
        <v/>
      </c>
      <c r="B41" s="4" t="str">
        <f>IF(Débito!A41="","",Débito!A41)</f>
        <v/>
      </c>
      <c r="C41" s="2" t="str">
        <f>IF(Débito!A41="","",Débito!B41)</f>
        <v/>
      </c>
      <c r="D41" s="2" t="str">
        <f>IF(Débito!A41="","",Débito!C41)</f>
        <v/>
      </c>
      <c r="E41" s="2" t="str">
        <f>IF(Débito!A41="","",Débito!D41)</f>
        <v/>
      </c>
      <c r="F41" s="5" t="str">
        <f>IF(Débito!A41="","",Débito!E41)</f>
        <v/>
      </c>
      <c r="G41" s="2" t="str">
        <f>IF(Débito!A41="","",Débito!F41)</f>
        <v/>
      </c>
      <c r="H41" s="2" t="str">
        <f>IF(Débito!A41="","",Débito!H41)</f>
        <v/>
      </c>
      <c r="I41" s="2" t="str">
        <f>IF(Débito!A41="","",Débito!G41)</f>
        <v/>
      </c>
    </row>
    <row r="42" spans="1:9" ht="16.5" customHeight="1">
      <c r="A42" s="2" t="str">
        <f>IF(Débito!A42="","","Débito")</f>
        <v/>
      </c>
      <c r="B42" s="4" t="str">
        <f>IF(Débito!A42="","",Débito!A42)</f>
        <v/>
      </c>
      <c r="C42" s="2" t="str">
        <f>IF(Débito!A42="","",Débito!B42)</f>
        <v/>
      </c>
      <c r="D42" s="2" t="str">
        <f>IF(Débito!A42="","",Débito!C42)</f>
        <v/>
      </c>
      <c r="E42" s="2" t="str">
        <f>IF(Débito!A42="","",Débito!D42)</f>
        <v/>
      </c>
      <c r="F42" s="5" t="str">
        <f>IF(Débito!A42="","",Débito!E42)</f>
        <v/>
      </c>
      <c r="G42" s="2" t="str">
        <f>IF(Débito!A42="","",Débito!F42)</f>
        <v/>
      </c>
      <c r="H42" s="2" t="str">
        <f>IF(Débito!A42="","",Débito!H42)</f>
        <v/>
      </c>
      <c r="I42" s="2" t="str">
        <f>IF(Débito!A42="","",Débito!G42)</f>
        <v/>
      </c>
    </row>
    <row r="43" spans="1:9" ht="16.5" customHeight="1">
      <c r="A43" s="2" t="str">
        <f>IF(Débito!A43="","","Débito")</f>
        <v/>
      </c>
      <c r="B43" s="4" t="str">
        <f>IF(Débito!A43="","",Débito!A43)</f>
        <v/>
      </c>
      <c r="C43" s="2" t="str">
        <f>IF(Débito!A43="","",Débito!B43)</f>
        <v/>
      </c>
      <c r="D43" s="2" t="str">
        <f>IF(Débito!A43="","",Débito!C43)</f>
        <v/>
      </c>
      <c r="E43" s="2" t="str">
        <f>IF(Débito!A43="","",Débito!D43)</f>
        <v/>
      </c>
      <c r="F43" s="5" t="str">
        <f>IF(Débito!A43="","",Débito!E43)</f>
        <v/>
      </c>
      <c r="G43" s="2" t="str">
        <f>IF(Débito!A43="","",Débito!F43)</f>
        <v/>
      </c>
      <c r="H43" s="2" t="str">
        <f>IF(Débito!A43="","",Débito!H43)</f>
        <v/>
      </c>
      <c r="I43" s="2" t="str">
        <f>IF(Débito!A43="","",Débito!G43)</f>
        <v/>
      </c>
    </row>
    <row r="44" spans="1:9" ht="16.5" customHeight="1">
      <c r="A44" s="2" t="str">
        <f>IF(Débito!A44="","","Débito")</f>
        <v/>
      </c>
      <c r="B44" s="4" t="str">
        <f>IF(Débito!A44="","",Débito!A44)</f>
        <v/>
      </c>
      <c r="C44" s="2" t="str">
        <f>IF(Débito!A44="","",Débito!B44)</f>
        <v/>
      </c>
      <c r="D44" s="2" t="str">
        <f>IF(Débito!A44="","",Débito!C44)</f>
        <v/>
      </c>
      <c r="E44" s="2" t="str">
        <f>IF(Débito!A44="","",Débito!D44)</f>
        <v/>
      </c>
      <c r="F44" s="5" t="str">
        <f>IF(Débito!A44="","",Débito!E44)</f>
        <v/>
      </c>
      <c r="G44" s="2" t="str">
        <f>IF(Débito!A44="","",Débito!F44)</f>
        <v/>
      </c>
      <c r="H44" s="2" t="str">
        <f>IF(Débito!A44="","",Débito!H44)</f>
        <v/>
      </c>
      <c r="I44" s="2" t="str">
        <f>IF(Débito!A44="","",Débito!G44)</f>
        <v/>
      </c>
    </row>
    <row r="45" spans="1:9" ht="16.5" customHeight="1">
      <c r="A45" s="2" t="str">
        <f>IF(Débito!A45="","","Débito")</f>
        <v/>
      </c>
      <c r="B45" s="4" t="str">
        <f>IF(Débito!A45="","",Débito!A45)</f>
        <v/>
      </c>
      <c r="C45" s="2" t="str">
        <f>IF(Débito!A45="","",Débito!B45)</f>
        <v/>
      </c>
      <c r="D45" s="2" t="str">
        <f>IF(Débito!A45="","",Débito!C45)</f>
        <v/>
      </c>
      <c r="E45" s="2" t="str">
        <f>IF(Débito!A45="","",Débito!D45)</f>
        <v/>
      </c>
      <c r="F45" s="5" t="str">
        <f>IF(Débito!A45="","",Débito!E45)</f>
        <v/>
      </c>
      <c r="G45" s="2" t="str">
        <f>IF(Débito!A45="","",Débito!F45)</f>
        <v/>
      </c>
      <c r="H45" s="2" t="str">
        <f>IF(Débito!A45="","",Débito!H45)</f>
        <v/>
      </c>
      <c r="I45" s="2" t="str">
        <f>IF(Débito!A45="","",Débito!G45)</f>
        <v/>
      </c>
    </row>
    <row r="46" spans="1:9" ht="16.5" customHeight="1">
      <c r="A46" s="2" t="str">
        <f>IF(Débito!A46="","","Débito")</f>
        <v/>
      </c>
      <c r="B46" s="4" t="str">
        <f>IF(Débito!A46="","",Débito!A46)</f>
        <v/>
      </c>
      <c r="C46" s="2" t="str">
        <f>IF(Débito!A46="","",Débito!B46)</f>
        <v/>
      </c>
      <c r="D46" s="2" t="str">
        <f>IF(Débito!A46="","",Débito!C46)</f>
        <v/>
      </c>
      <c r="E46" s="2" t="str">
        <f>IF(Débito!A46="","",Débito!D46)</f>
        <v/>
      </c>
      <c r="F46" s="5" t="str">
        <f>IF(Débito!A46="","",Débito!E46)</f>
        <v/>
      </c>
      <c r="G46" s="2" t="str">
        <f>IF(Débito!A46="","",Débito!F46)</f>
        <v/>
      </c>
      <c r="H46" s="2" t="str">
        <f>IF(Débito!A46="","",Débito!H46)</f>
        <v/>
      </c>
      <c r="I46" s="2" t="str">
        <f>IF(Débito!A46="","",Débito!G46)</f>
        <v/>
      </c>
    </row>
    <row r="47" spans="1:9" ht="16.5" customHeight="1">
      <c r="A47" s="2" t="str">
        <f>IF(Débito!A47="","","Débito")</f>
        <v/>
      </c>
      <c r="B47" s="4" t="str">
        <f>IF(Débito!A47="","",Débito!A47)</f>
        <v/>
      </c>
      <c r="C47" s="2" t="str">
        <f>IF(Débito!A47="","",Débito!B47)</f>
        <v/>
      </c>
      <c r="D47" s="2" t="str">
        <f>IF(Débito!A47="","",Débito!C47)</f>
        <v/>
      </c>
      <c r="E47" s="2" t="str">
        <f>IF(Débito!A47="","",Débito!D47)</f>
        <v/>
      </c>
      <c r="F47" s="5" t="str">
        <f>IF(Débito!A47="","",Débito!E47)</f>
        <v/>
      </c>
      <c r="G47" s="2" t="str">
        <f>IF(Débito!A47="","",Débito!F47)</f>
        <v/>
      </c>
      <c r="H47" s="2" t="str">
        <f>IF(Débito!A47="","",Débito!H47)</f>
        <v/>
      </c>
      <c r="I47" s="2" t="str">
        <f>IF(Débito!A47="","",Débito!G47)</f>
        <v/>
      </c>
    </row>
    <row r="48" spans="1:9" ht="16.5" customHeight="1">
      <c r="A48" s="2" t="str">
        <f>IF(Débito!A48="","","Débito")</f>
        <v/>
      </c>
      <c r="B48" s="4" t="str">
        <f>IF(Débito!A48="","",Débito!A48)</f>
        <v/>
      </c>
      <c r="C48" s="2" t="str">
        <f>IF(Débito!A48="","",Débito!B48)</f>
        <v/>
      </c>
      <c r="D48" s="2" t="str">
        <f>IF(Débito!A48="","",Débito!C48)</f>
        <v/>
      </c>
      <c r="E48" s="2" t="str">
        <f>IF(Débito!A48="","",Débito!D48)</f>
        <v/>
      </c>
      <c r="F48" s="5" t="str">
        <f>IF(Débito!A48="","",Débito!E48)</f>
        <v/>
      </c>
      <c r="G48" s="2" t="str">
        <f>IF(Débito!A48="","",Débito!F48)</f>
        <v/>
      </c>
      <c r="H48" s="2" t="str">
        <f>IF(Débito!A48="","",Débito!H48)</f>
        <v/>
      </c>
      <c r="I48" s="2" t="str">
        <f>IF(Débito!A48="","",Débito!G48)</f>
        <v/>
      </c>
    </row>
    <row r="49" spans="1:9" ht="16.5" customHeight="1">
      <c r="A49" s="2" t="str">
        <f>IF(Débito!A49="","","Débito")</f>
        <v/>
      </c>
      <c r="B49" s="4" t="str">
        <f>IF(Débito!A49="","",Débito!A49)</f>
        <v/>
      </c>
      <c r="C49" s="2" t="str">
        <f>IF(Débito!A49="","",Débito!B49)</f>
        <v/>
      </c>
      <c r="D49" s="2" t="str">
        <f>IF(Débito!A49="","",Débito!C49)</f>
        <v/>
      </c>
      <c r="E49" s="2" t="str">
        <f>IF(Débito!A49="","",Débito!D49)</f>
        <v/>
      </c>
      <c r="F49" s="5" t="str">
        <f>IF(Débito!A49="","",Débito!E49)</f>
        <v/>
      </c>
      <c r="G49" s="2" t="str">
        <f>IF(Débito!A49="","",Débito!F49)</f>
        <v/>
      </c>
      <c r="H49" s="2" t="str">
        <f>IF(Débito!A49="","",Débito!H49)</f>
        <v/>
      </c>
      <c r="I49" s="2" t="str">
        <f>IF(Débito!A49="","",Débito!G49)</f>
        <v/>
      </c>
    </row>
    <row r="50" spans="1:9" ht="16.5" customHeight="1">
      <c r="A50" s="2" t="str">
        <f>IF(Débito!A50="","","Débito")</f>
        <v/>
      </c>
      <c r="B50" s="4" t="str">
        <f>IF(Débito!A50="","",Débito!A50)</f>
        <v/>
      </c>
      <c r="C50" s="2" t="str">
        <f>IF(Débito!A50="","",Débito!B50)</f>
        <v/>
      </c>
      <c r="D50" s="2" t="str">
        <f>IF(Débito!A50="","",Débito!C50)</f>
        <v/>
      </c>
      <c r="E50" s="2" t="str">
        <f>IF(Débito!A50="","",Débito!D50)</f>
        <v/>
      </c>
      <c r="F50" s="5" t="str">
        <f>IF(Débito!A50="","",Débito!E50)</f>
        <v/>
      </c>
      <c r="G50" s="2" t="str">
        <f>IF(Débito!A50="","",Débito!F50)</f>
        <v/>
      </c>
      <c r="H50" s="2" t="str">
        <f>IF(Débito!A50="","",Débito!H50)</f>
        <v/>
      </c>
      <c r="I50" s="2" t="str">
        <f>IF(Débito!A50="","",Débito!G50)</f>
        <v/>
      </c>
    </row>
    <row r="51" spans="1:9" ht="16.5" customHeight="1">
      <c r="A51" s="2" t="str">
        <f>IF(Débito!A51="","","Débito")</f>
        <v/>
      </c>
      <c r="B51" s="4" t="str">
        <f>IF(Débito!A51="","",Débito!A51)</f>
        <v/>
      </c>
      <c r="C51" s="2" t="str">
        <f>IF(Débito!A51="","",Débito!B51)</f>
        <v/>
      </c>
      <c r="D51" s="2" t="str">
        <f>IF(Débito!A51="","",Débito!C51)</f>
        <v/>
      </c>
      <c r="E51" s="2" t="str">
        <f>IF(Débito!A51="","",Débito!D51)</f>
        <v/>
      </c>
      <c r="F51" s="5" t="str">
        <f>IF(Débito!A51="","",Débito!E51)</f>
        <v/>
      </c>
      <c r="G51" s="2" t="str">
        <f>IF(Débito!A51="","",Débito!F51)</f>
        <v/>
      </c>
      <c r="H51" s="2" t="str">
        <f>IF(Débito!A51="","",Débito!H51)</f>
        <v/>
      </c>
      <c r="I51" s="2" t="str">
        <f>IF(Débito!A51="","",Débito!G51)</f>
        <v/>
      </c>
    </row>
    <row r="52" spans="1:9" ht="16.5" customHeight="1">
      <c r="A52" s="2" t="str">
        <f>IF(Débito!A52="","","Débito")</f>
        <v/>
      </c>
      <c r="B52" s="4" t="str">
        <f>IF(Débito!A52="","",Débito!A52)</f>
        <v/>
      </c>
      <c r="C52" s="2" t="str">
        <f>IF(Débito!A52="","",Débito!B52)</f>
        <v/>
      </c>
      <c r="D52" s="2" t="str">
        <f>IF(Débito!A52="","",Débito!C52)</f>
        <v/>
      </c>
      <c r="E52" s="2" t="str">
        <f>IF(Débito!A52="","",Débito!D52)</f>
        <v/>
      </c>
      <c r="F52" s="5" t="str">
        <f>IF(Débito!A52="","",Débito!E52)</f>
        <v/>
      </c>
      <c r="G52" s="2" t="str">
        <f>IF(Débito!A52="","",Débito!F52)</f>
        <v/>
      </c>
      <c r="H52" s="2" t="str">
        <f>IF(Débito!A52="","",Débito!H52)</f>
        <v/>
      </c>
      <c r="I52" s="2" t="str">
        <f>IF(Débito!A52="","",Débito!G52)</f>
        <v/>
      </c>
    </row>
    <row r="53" spans="1:9" ht="16.5" customHeight="1">
      <c r="A53" s="2" t="str">
        <f>IF(Débito!A53="","","Débito")</f>
        <v/>
      </c>
      <c r="B53" s="4" t="str">
        <f>IF(Débito!A53="","",Débito!A53)</f>
        <v/>
      </c>
      <c r="C53" s="2" t="str">
        <f>IF(Débito!A53="","",Débito!B53)</f>
        <v/>
      </c>
      <c r="D53" s="2" t="str">
        <f>IF(Débito!A53="","",Débito!C53)</f>
        <v/>
      </c>
      <c r="E53" s="2" t="str">
        <f>IF(Débito!A53="","",Débito!D53)</f>
        <v/>
      </c>
      <c r="F53" s="5" t="str">
        <f>IF(Débito!A53="","",Débito!E53)</f>
        <v/>
      </c>
      <c r="G53" s="2" t="str">
        <f>IF(Débito!A53="","",Débito!F53)</f>
        <v/>
      </c>
      <c r="H53" s="2" t="str">
        <f>IF(Débito!A53="","",Débito!H53)</f>
        <v/>
      </c>
      <c r="I53" s="2" t="str">
        <f>IF(Débito!A53="","",Débito!G53)</f>
        <v/>
      </c>
    </row>
    <row r="54" spans="1:9" ht="16.5" customHeight="1">
      <c r="A54" s="2" t="str">
        <f>IF(Débito!A54="","","Débito")</f>
        <v/>
      </c>
      <c r="B54" s="4" t="str">
        <f>IF(Débito!A54="","",Débito!A54)</f>
        <v/>
      </c>
      <c r="C54" s="2" t="str">
        <f>IF(Débito!A54="","",Débito!B54)</f>
        <v/>
      </c>
      <c r="D54" s="2" t="str">
        <f>IF(Débito!A54="","",Débito!C54)</f>
        <v/>
      </c>
      <c r="E54" s="2" t="str">
        <f>IF(Débito!A54="","",Débito!D54)</f>
        <v/>
      </c>
      <c r="F54" s="5" t="str">
        <f>IF(Débito!A54="","",Débito!E54)</f>
        <v/>
      </c>
      <c r="G54" s="2" t="str">
        <f>IF(Débito!A54="","",Débito!F54)</f>
        <v/>
      </c>
      <c r="H54" s="2" t="str">
        <f>IF(Débito!A54="","",Débito!H54)</f>
        <v/>
      </c>
      <c r="I54" s="2" t="str">
        <f>IF(Débito!A54="","",Débito!G54)</f>
        <v/>
      </c>
    </row>
    <row r="55" spans="1:9" ht="16.5" customHeight="1">
      <c r="A55" s="2" t="str">
        <f>IF(Débito!A55="","","Débito")</f>
        <v/>
      </c>
      <c r="B55" s="4" t="str">
        <f>IF(Débito!A55="","",Débito!A55)</f>
        <v/>
      </c>
      <c r="C55" s="2" t="str">
        <f>IF(Débito!A55="","",Débito!B55)</f>
        <v/>
      </c>
      <c r="D55" s="2" t="str">
        <f>IF(Débito!A55="","",Débito!C55)</f>
        <v/>
      </c>
      <c r="E55" s="2" t="str">
        <f>IF(Débito!A55="","",Débito!D55)</f>
        <v/>
      </c>
      <c r="F55" s="5" t="str">
        <f>IF(Débito!A55="","",Débito!E55)</f>
        <v/>
      </c>
      <c r="G55" s="2" t="str">
        <f>IF(Débito!A55="","",Débito!F55)</f>
        <v/>
      </c>
      <c r="H55" s="2" t="str">
        <f>IF(Débito!A55="","",Débito!H55)</f>
        <v/>
      </c>
      <c r="I55" s="2" t="str">
        <f>IF(Débito!A55="","",Débito!G55)</f>
        <v/>
      </c>
    </row>
    <row r="56" spans="1:9" ht="16.5" customHeight="1">
      <c r="A56" s="2" t="str">
        <f>IF(Débito!A56="","","Débito")</f>
        <v/>
      </c>
      <c r="B56" s="4" t="str">
        <f>IF(Débito!A56="","",Débito!A56)</f>
        <v/>
      </c>
      <c r="C56" s="2" t="str">
        <f>IF(Débito!A56="","",Débito!B56)</f>
        <v/>
      </c>
      <c r="D56" s="2" t="str">
        <f>IF(Débito!A56="","",Débito!C56)</f>
        <v/>
      </c>
      <c r="E56" s="2" t="str">
        <f>IF(Débito!A56="","",Débito!D56)</f>
        <v/>
      </c>
      <c r="F56" s="5" t="str">
        <f>IF(Débito!A56="","",Débito!E56)</f>
        <v/>
      </c>
      <c r="G56" s="2" t="str">
        <f>IF(Débito!A56="","",Débito!F56)</f>
        <v/>
      </c>
      <c r="H56" s="2" t="str">
        <f>IF(Débito!A56="","",Débito!H56)</f>
        <v/>
      </c>
      <c r="I56" s="2" t="str">
        <f>IF(Débito!A56="","",Débito!G56)</f>
        <v/>
      </c>
    </row>
    <row r="57" spans="1:9" ht="16.5" customHeight="1">
      <c r="A57" s="2" t="str">
        <f>IF(Débito!A57="","","Débito")</f>
        <v/>
      </c>
      <c r="B57" s="4" t="str">
        <f>IF(Débito!A57="","",Débito!A57)</f>
        <v/>
      </c>
      <c r="C57" s="2" t="str">
        <f>IF(Débito!A57="","",Débito!B57)</f>
        <v/>
      </c>
      <c r="D57" s="2" t="str">
        <f>IF(Débito!A57="","",Débito!C57)</f>
        <v/>
      </c>
      <c r="E57" s="2" t="str">
        <f>IF(Débito!A57="","",Débito!D57)</f>
        <v/>
      </c>
      <c r="F57" s="5" t="str">
        <f>IF(Débito!A57="","",Débito!E57)</f>
        <v/>
      </c>
      <c r="G57" s="2" t="str">
        <f>IF(Débito!A57="","",Débito!F57)</f>
        <v/>
      </c>
      <c r="H57" s="2" t="str">
        <f>IF(Débito!A57="","",Débito!H57)</f>
        <v/>
      </c>
      <c r="I57" s="2" t="str">
        <f>IF(Débito!A57="","",Débito!G57)</f>
        <v/>
      </c>
    </row>
    <row r="58" spans="1:9" ht="16.5" customHeight="1">
      <c r="A58" s="2" t="str">
        <f>IF(Débito!A58="","","Débito")</f>
        <v/>
      </c>
      <c r="B58" s="4" t="str">
        <f>IF(Débito!A58="","",Débito!A58)</f>
        <v/>
      </c>
      <c r="C58" s="2" t="str">
        <f>IF(Débito!A58="","",Débito!B58)</f>
        <v/>
      </c>
      <c r="D58" s="2" t="str">
        <f>IF(Débito!A58="","",Débito!C58)</f>
        <v/>
      </c>
      <c r="E58" s="2" t="str">
        <f>IF(Débito!A58="","",Débito!D58)</f>
        <v/>
      </c>
      <c r="F58" s="5" t="str">
        <f>IF(Débito!A58="","",Débito!E58)</f>
        <v/>
      </c>
      <c r="G58" s="2" t="str">
        <f>IF(Débito!A58="","",Débito!F58)</f>
        <v/>
      </c>
      <c r="H58" s="2" t="str">
        <f>IF(Débito!A58="","",Débito!H58)</f>
        <v/>
      </c>
      <c r="I58" s="2" t="str">
        <f>IF(Débito!A58="","",Débito!G58)</f>
        <v/>
      </c>
    </row>
    <row r="59" spans="1:9" ht="16.5" customHeight="1">
      <c r="A59" s="2" t="str">
        <f>IF(Débito!A59="","","Débito")</f>
        <v/>
      </c>
      <c r="B59" s="4" t="str">
        <f>IF(Débito!A59="","",Débito!A59)</f>
        <v/>
      </c>
      <c r="C59" s="2" t="str">
        <f>IF(Débito!A59="","",Débito!B59)</f>
        <v/>
      </c>
      <c r="D59" s="2" t="str">
        <f>IF(Débito!A59="","",Débito!C59)</f>
        <v/>
      </c>
      <c r="E59" s="2" t="str">
        <f>IF(Débito!A59="","",Débito!D59)</f>
        <v/>
      </c>
      <c r="F59" s="5" t="str">
        <f>IF(Débito!A59="","",Débito!E59)</f>
        <v/>
      </c>
      <c r="G59" s="2" t="str">
        <f>IF(Débito!A59="","",Débito!F59)</f>
        <v/>
      </c>
      <c r="H59" s="2" t="str">
        <f>IF(Débito!A59="","",Débito!H59)</f>
        <v/>
      </c>
      <c r="I59" s="2" t="str">
        <f>IF(Débito!A59="","",Débito!G59)</f>
        <v/>
      </c>
    </row>
    <row r="60" spans="1:9" ht="16.5" customHeight="1">
      <c r="A60" s="2" t="str">
        <f>IF(Débito!A60="","","Débito")</f>
        <v/>
      </c>
      <c r="B60" s="4" t="str">
        <f>IF(Débito!A60="","",Débito!A60)</f>
        <v/>
      </c>
      <c r="C60" s="2" t="str">
        <f>IF(Débito!A60="","",Débito!B60)</f>
        <v/>
      </c>
      <c r="D60" s="2" t="str">
        <f>IF(Débito!A60="","",Débito!C60)</f>
        <v/>
      </c>
      <c r="E60" s="2" t="str">
        <f>IF(Débito!A60="","",Débito!D60)</f>
        <v/>
      </c>
      <c r="F60" s="5" t="str">
        <f>IF(Débito!A60="","",Débito!E60)</f>
        <v/>
      </c>
      <c r="G60" s="2" t="str">
        <f>IF(Débito!A60="","",Débito!F60)</f>
        <v/>
      </c>
      <c r="H60" s="2" t="str">
        <f>IF(Débito!A60="","",Débito!H60)</f>
        <v/>
      </c>
      <c r="I60" s="2" t="str">
        <f>IF(Débito!A60="","",Débito!G60)</f>
        <v/>
      </c>
    </row>
    <row r="61" spans="1:9" ht="16.5" customHeight="1">
      <c r="A61" s="2" t="str">
        <f>IF(Débito!A61="","","Débito")</f>
        <v/>
      </c>
      <c r="B61" s="4" t="str">
        <f>IF(Débito!A61="","",Débito!A61)</f>
        <v/>
      </c>
      <c r="C61" s="2" t="str">
        <f>IF(Débito!A61="","",Débito!B61)</f>
        <v/>
      </c>
      <c r="D61" s="2" t="str">
        <f>IF(Débito!A61="","",Débito!C61)</f>
        <v/>
      </c>
      <c r="E61" s="2" t="str">
        <f>IF(Débito!A61="","",Débito!D61)</f>
        <v/>
      </c>
      <c r="F61" s="5" t="str">
        <f>IF(Débito!A61="","",Débito!E61)</f>
        <v/>
      </c>
      <c r="G61" s="2" t="str">
        <f>IF(Débito!A61="","",Débito!F61)</f>
        <v/>
      </c>
      <c r="H61" s="2" t="str">
        <f>IF(Débito!A61="","",Débito!H61)</f>
        <v/>
      </c>
      <c r="I61" s="2" t="str">
        <f>IF(Débito!A61="","",Débito!G61)</f>
        <v/>
      </c>
    </row>
    <row r="62" spans="1:9" ht="16.5" customHeight="1">
      <c r="A62" s="2" t="str">
        <f>IF(Débito!A62="","","Débito")</f>
        <v/>
      </c>
      <c r="B62" s="4" t="str">
        <f>IF(Débito!A62="","",Débito!A62)</f>
        <v/>
      </c>
      <c r="C62" s="2" t="str">
        <f>IF(Débito!A62="","",Débito!B62)</f>
        <v/>
      </c>
      <c r="D62" s="2" t="str">
        <f>IF(Débito!A62="","",Débito!C62)</f>
        <v/>
      </c>
      <c r="E62" s="2" t="str">
        <f>IF(Débito!A62="","",Débito!D62)</f>
        <v/>
      </c>
      <c r="F62" s="5" t="str">
        <f>IF(Débito!A62="","",Débito!E62)</f>
        <v/>
      </c>
      <c r="G62" s="2" t="str">
        <f>IF(Débito!A62="","",Débito!F62)</f>
        <v/>
      </c>
      <c r="H62" s="2" t="str">
        <f>IF(Débito!A62="","",Débito!H62)</f>
        <v/>
      </c>
      <c r="I62" s="2" t="str">
        <f>IF(Débito!A62="","",Débito!G62)</f>
        <v/>
      </c>
    </row>
    <row r="63" spans="1:9" ht="16.5" customHeight="1">
      <c r="A63" s="2" t="str">
        <f>IF(Débito!A63="","","Débito")</f>
        <v/>
      </c>
      <c r="B63" s="4" t="str">
        <f>IF(Débito!A63="","",Débito!A63)</f>
        <v/>
      </c>
      <c r="C63" s="2" t="str">
        <f>IF(Débito!A63="","",Débito!B63)</f>
        <v/>
      </c>
      <c r="D63" s="2" t="str">
        <f>IF(Débito!A63="","",Débito!C63)</f>
        <v/>
      </c>
      <c r="E63" s="2" t="str">
        <f>IF(Débito!A63="","",Débito!D63)</f>
        <v/>
      </c>
      <c r="F63" s="5" t="str">
        <f>IF(Débito!A63="","",Débito!E63)</f>
        <v/>
      </c>
      <c r="G63" s="2" t="str">
        <f>IF(Débito!A63="","",Débito!F63)</f>
        <v/>
      </c>
      <c r="H63" s="2" t="str">
        <f>IF(Débito!A63="","",Débito!H63)</f>
        <v/>
      </c>
      <c r="I63" s="2" t="str">
        <f>IF(Débito!A63="","",Débito!G63)</f>
        <v/>
      </c>
    </row>
    <row r="64" spans="1:9" ht="16.5" customHeight="1">
      <c r="A64" s="2" t="str">
        <f>IF(Débito!A64="","","Débito")</f>
        <v/>
      </c>
      <c r="B64" s="4" t="str">
        <f>IF(Débito!A64="","",Débito!A64)</f>
        <v/>
      </c>
      <c r="C64" s="2" t="str">
        <f>IF(Débito!A64="","",Débito!B64)</f>
        <v/>
      </c>
      <c r="D64" s="2" t="str">
        <f>IF(Débito!A64="","",Débito!C64)</f>
        <v/>
      </c>
      <c r="E64" s="2" t="str">
        <f>IF(Débito!A64="","",Débito!D64)</f>
        <v/>
      </c>
      <c r="F64" s="5" t="str">
        <f>IF(Débito!A64="","",Débito!E64)</f>
        <v/>
      </c>
      <c r="G64" s="2" t="str">
        <f>IF(Débito!A64="","",Débito!F64)</f>
        <v/>
      </c>
      <c r="H64" s="2" t="str">
        <f>IF(Débito!A64="","",Débito!H64)</f>
        <v/>
      </c>
      <c r="I64" s="2" t="str">
        <f>IF(Débito!A64="","",Débito!G64)</f>
        <v/>
      </c>
    </row>
    <row r="65" spans="1:9" ht="16.5" customHeight="1">
      <c r="A65" s="2" t="str">
        <f>IF(Débito!A65="","","Débito")</f>
        <v/>
      </c>
      <c r="B65" s="4" t="str">
        <f>IF(Débito!A65="","",Débito!A65)</f>
        <v/>
      </c>
      <c r="C65" s="2" t="str">
        <f>IF(Débito!A65="","",Débito!B65)</f>
        <v/>
      </c>
      <c r="D65" s="2" t="str">
        <f>IF(Débito!A65="","",Débito!C65)</f>
        <v/>
      </c>
      <c r="E65" s="2" t="str">
        <f>IF(Débito!A65="","",Débito!D65)</f>
        <v/>
      </c>
      <c r="F65" s="5" t="str">
        <f>IF(Débito!A65="","",Débito!E65)</f>
        <v/>
      </c>
      <c r="G65" s="2" t="str">
        <f>IF(Débito!A65="","",Débito!F65)</f>
        <v/>
      </c>
      <c r="H65" s="2" t="str">
        <f>IF(Débito!A65="","",Débito!H65)</f>
        <v/>
      </c>
      <c r="I65" s="2" t="str">
        <f>IF(Débito!A65="","",Débito!G65)</f>
        <v/>
      </c>
    </row>
    <row r="66" spans="1:9" ht="16.5" customHeight="1">
      <c r="A66" s="2" t="str">
        <f>IF(Débito!A66="","","Débito")</f>
        <v/>
      </c>
      <c r="B66" s="4" t="str">
        <f>IF(Débito!A66="","",Débito!A66)</f>
        <v/>
      </c>
      <c r="C66" s="2" t="str">
        <f>IF(Débito!A66="","",Débito!B66)</f>
        <v/>
      </c>
      <c r="D66" s="2" t="str">
        <f>IF(Débito!A66="","",Débito!C66)</f>
        <v/>
      </c>
      <c r="E66" s="2" t="str">
        <f>IF(Débito!A66="","",Débito!D66)</f>
        <v/>
      </c>
      <c r="F66" s="5" t="str">
        <f>IF(Débito!A66="","",Débito!E66)</f>
        <v/>
      </c>
      <c r="G66" s="2" t="str">
        <f>IF(Débito!A66="","",Débito!F66)</f>
        <v/>
      </c>
      <c r="H66" s="2" t="str">
        <f>IF(Débito!A66="","",Débito!H66)</f>
        <v/>
      </c>
      <c r="I66" s="2" t="str">
        <f>IF(Débito!A66="","",Débito!G66)</f>
        <v/>
      </c>
    </row>
    <row r="67" spans="1:9" ht="16.5" customHeight="1">
      <c r="A67" s="2" t="str">
        <f>IF(Débito!A67="","","Débito")</f>
        <v/>
      </c>
      <c r="B67" s="4" t="str">
        <f>IF(Débito!A67="","",Débito!A67)</f>
        <v/>
      </c>
      <c r="C67" s="2" t="str">
        <f>IF(Débito!A67="","",Débito!B67)</f>
        <v/>
      </c>
      <c r="D67" s="2" t="str">
        <f>IF(Débito!A67="","",Débito!C67)</f>
        <v/>
      </c>
      <c r="E67" s="2" t="str">
        <f>IF(Débito!A67="","",Débito!D67)</f>
        <v/>
      </c>
      <c r="F67" s="5" t="str">
        <f>IF(Débito!A67="","",Débito!E67)</f>
        <v/>
      </c>
      <c r="G67" s="2" t="str">
        <f>IF(Débito!A67="","",Débito!F67)</f>
        <v/>
      </c>
      <c r="H67" s="2" t="str">
        <f>IF(Débito!A67="","",Débito!H67)</f>
        <v/>
      </c>
      <c r="I67" s="2" t="str">
        <f>IF(Débito!A67="","",Débito!G67)</f>
        <v/>
      </c>
    </row>
    <row r="68" spans="1:9" ht="16.5" customHeight="1">
      <c r="A68" s="2" t="str">
        <f>IF(Débito!A68="","","Débito")</f>
        <v/>
      </c>
      <c r="B68" s="4" t="str">
        <f>IF(Débito!A68="","",Débito!A68)</f>
        <v/>
      </c>
      <c r="C68" s="2" t="str">
        <f>IF(Débito!A68="","",Débito!B68)</f>
        <v/>
      </c>
      <c r="D68" s="2" t="str">
        <f>IF(Débito!A68="","",Débito!C68)</f>
        <v/>
      </c>
      <c r="E68" s="2" t="str">
        <f>IF(Débito!A68="","",Débito!D68)</f>
        <v/>
      </c>
      <c r="F68" s="5" t="str">
        <f>IF(Débito!A68="","",Débito!E68)</f>
        <v/>
      </c>
      <c r="G68" s="2" t="str">
        <f>IF(Débito!A68="","",Débito!F68)</f>
        <v/>
      </c>
      <c r="H68" s="2" t="str">
        <f>IF(Débito!A68="","",Débito!H68)</f>
        <v/>
      </c>
      <c r="I68" s="2" t="str">
        <f>IF(Débito!A68="","",Débito!G68)</f>
        <v/>
      </c>
    </row>
    <row r="69" spans="1:9" ht="16.5" customHeight="1">
      <c r="A69" s="2" t="str">
        <f>IF(Débito!A69="","","Débito")</f>
        <v/>
      </c>
      <c r="B69" s="4" t="str">
        <f>IF(Débito!A69="","",Débito!A69)</f>
        <v/>
      </c>
      <c r="C69" s="2" t="str">
        <f>IF(Débito!A69="","",Débito!B69)</f>
        <v/>
      </c>
      <c r="D69" s="2" t="str">
        <f>IF(Débito!A69="","",Débito!C69)</f>
        <v/>
      </c>
      <c r="E69" s="2" t="str">
        <f>IF(Débito!A69="","",Débito!D69)</f>
        <v/>
      </c>
      <c r="F69" s="5" t="str">
        <f>IF(Débito!A69="","",Débito!E69)</f>
        <v/>
      </c>
      <c r="G69" s="2" t="str">
        <f>IF(Débito!A69="","",Débito!F69)</f>
        <v/>
      </c>
      <c r="H69" s="2" t="str">
        <f>IF(Débito!A69="","",Débito!H69)</f>
        <v/>
      </c>
      <c r="I69" s="2" t="str">
        <f>IF(Débito!A69="","",Débito!G69)</f>
        <v/>
      </c>
    </row>
    <row r="70" spans="1:9" ht="16.5" customHeight="1">
      <c r="A70" s="2" t="str">
        <f>IF(Débito!A70="","","Débito")</f>
        <v/>
      </c>
      <c r="B70" s="4" t="str">
        <f>IF(Débito!A70="","",Débito!A70)</f>
        <v/>
      </c>
      <c r="C70" s="2" t="str">
        <f>IF(Débito!A70="","",Débito!B70)</f>
        <v/>
      </c>
      <c r="D70" s="2" t="str">
        <f>IF(Débito!A70="","",Débito!C70)</f>
        <v/>
      </c>
      <c r="E70" s="2" t="str">
        <f>IF(Débito!A70="","",Débito!D70)</f>
        <v/>
      </c>
      <c r="F70" s="5" t="str">
        <f>IF(Débito!A70="","",Débito!E70)</f>
        <v/>
      </c>
      <c r="G70" s="2" t="str">
        <f>IF(Débito!A70="","",Débito!F70)</f>
        <v/>
      </c>
      <c r="H70" s="2" t="str">
        <f>IF(Débito!A70="","",Débito!H70)</f>
        <v/>
      </c>
      <c r="I70" s="2" t="str">
        <f>IF(Débito!A70="","",Débito!G70)</f>
        <v/>
      </c>
    </row>
    <row r="71" spans="1:9" ht="16.5" customHeight="1">
      <c r="A71" s="2" t="str">
        <f>IF(Débito!A71="","","Débito")</f>
        <v/>
      </c>
      <c r="B71" s="4" t="str">
        <f>IF(Débito!A71="","",Débito!A71)</f>
        <v/>
      </c>
      <c r="C71" s="2" t="str">
        <f>IF(Débito!A71="","",Débito!B71)</f>
        <v/>
      </c>
      <c r="D71" s="2" t="str">
        <f>IF(Débito!A71="","",Débito!C71)</f>
        <v/>
      </c>
      <c r="E71" s="2" t="str">
        <f>IF(Débito!A71="","",Débito!D71)</f>
        <v/>
      </c>
      <c r="F71" s="5" t="str">
        <f>IF(Débito!A71="","",Débito!E71)</f>
        <v/>
      </c>
      <c r="G71" s="2" t="str">
        <f>IF(Débito!A71="","",Débito!F71)</f>
        <v/>
      </c>
      <c r="H71" s="2" t="str">
        <f>IF(Débito!A71="","",Débito!H71)</f>
        <v/>
      </c>
      <c r="I71" s="2" t="str">
        <f>IF(Débito!A71="","",Débito!G71)</f>
        <v/>
      </c>
    </row>
    <row r="72" spans="1:9" ht="16.5" customHeight="1">
      <c r="A72" s="2" t="str">
        <f>IF(Débito!A72="","","Débito")</f>
        <v/>
      </c>
      <c r="B72" s="4" t="str">
        <f>IF(Débito!A72="","",Débito!A72)</f>
        <v/>
      </c>
      <c r="C72" s="2" t="str">
        <f>IF(Débito!A72="","",Débito!B72)</f>
        <v/>
      </c>
      <c r="D72" s="2" t="str">
        <f>IF(Débito!A72="","",Débito!C72)</f>
        <v/>
      </c>
      <c r="E72" s="2" t="str">
        <f>IF(Débito!A72="","",Débito!D72)</f>
        <v/>
      </c>
      <c r="F72" s="5" t="str">
        <f>IF(Débito!A72="","",Débito!E72)</f>
        <v/>
      </c>
      <c r="G72" s="2" t="str">
        <f>IF(Débito!A72="","",Débito!F72)</f>
        <v/>
      </c>
      <c r="H72" s="2" t="str">
        <f>IF(Débito!A72="","",Débito!H72)</f>
        <v/>
      </c>
      <c r="I72" s="2" t="str">
        <f>IF(Débito!A72="","",Débito!G72)</f>
        <v/>
      </c>
    </row>
    <row r="73" spans="1:9" ht="16.5" customHeight="1">
      <c r="A73" s="2" t="str">
        <f>IF(Débito!A73="","","Débito")</f>
        <v/>
      </c>
      <c r="B73" s="4" t="str">
        <f>IF(Débito!A73="","",Débito!A73)</f>
        <v/>
      </c>
      <c r="C73" s="2" t="str">
        <f>IF(Débito!A73="","",Débito!B73)</f>
        <v/>
      </c>
      <c r="D73" s="2" t="str">
        <f>IF(Débito!A73="","",Débito!C73)</f>
        <v/>
      </c>
      <c r="E73" s="2" t="str">
        <f>IF(Débito!A73="","",Débito!D73)</f>
        <v/>
      </c>
      <c r="F73" s="5" t="str">
        <f>IF(Débito!A73="","",Débito!E73)</f>
        <v/>
      </c>
      <c r="G73" s="2" t="str">
        <f>IF(Débito!A73="","",Débito!F73)</f>
        <v/>
      </c>
      <c r="H73" s="2" t="str">
        <f>IF(Débito!A73="","",Débito!H73)</f>
        <v/>
      </c>
      <c r="I73" s="2" t="str">
        <f>IF(Débito!A73="","",Débito!G73)</f>
        <v/>
      </c>
    </row>
    <row r="74" spans="1:9" ht="16.5" customHeight="1">
      <c r="A74" s="2" t="str">
        <f>IF(Débito!A74="","","Débito")</f>
        <v/>
      </c>
      <c r="B74" s="4" t="str">
        <f>IF(Débito!A74="","",Débito!A74)</f>
        <v/>
      </c>
      <c r="C74" s="2" t="str">
        <f>IF(Débito!A74="","",Débito!B74)</f>
        <v/>
      </c>
      <c r="D74" s="2" t="str">
        <f>IF(Débito!A74="","",Débito!C74)</f>
        <v/>
      </c>
      <c r="E74" s="2" t="str">
        <f>IF(Débito!A74="","",Débito!D74)</f>
        <v/>
      </c>
      <c r="F74" s="5" t="str">
        <f>IF(Débito!A74="","",Débito!E74)</f>
        <v/>
      </c>
      <c r="G74" s="2" t="str">
        <f>IF(Débito!A74="","",Débito!F74)</f>
        <v/>
      </c>
      <c r="H74" s="2" t="str">
        <f>IF(Débito!A74="","",Débito!H74)</f>
        <v/>
      </c>
      <c r="I74" s="2" t="str">
        <f>IF(Débito!A74="","",Débito!G74)</f>
        <v/>
      </c>
    </row>
    <row r="75" spans="1:9" ht="16.5" customHeight="1">
      <c r="A75" s="2" t="str">
        <f>IF(Débito!A75="","","Débito")</f>
        <v/>
      </c>
      <c r="B75" s="4" t="str">
        <f>IF(Débito!A75="","",Débito!A75)</f>
        <v/>
      </c>
      <c r="C75" s="2" t="str">
        <f>IF(Débito!A75="","",Débito!B75)</f>
        <v/>
      </c>
      <c r="D75" s="2" t="str">
        <f>IF(Débito!A75="","",Débito!C75)</f>
        <v/>
      </c>
      <c r="E75" s="2" t="str">
        <f>IF(Débito!A75="","",Débito!D75)</f>
        <v/>
      </c>
      <c r="F75" s="5" t="str">
        <f>IF(Débito!A75="","",Débito!E75)</f>
        <v/>
      </c>
      <c r="G75" s="2" t="str">
        <f>IF(Débito!A75="","",Débito!F75)</f>
        <v/>
      </c>
      <c r="H75" s="2" t="str">
        <f>IF(Débito!A75="","",Débito!H75)</f>
        <v/>
      </c>
      <c r="I75" s="2" t="str">
        <f>IF(Débito!A75="","",Débito!G75)</f>
        <v/>
      </c>
    </row>
    <row r="76" spans="1:9" ht="16.5" customHeight="1">
      <c r="A76" s="2" t="str">
        <f>IF(Débito!A76="","","Débito")</f>
        <v/>
      </c>
      <c r="B76" s="4" t="str">
        <f>IF(Débito!A76="","",Débito!A76)</f>
        <v/>
      </c>
      <c r="C76" s="2" t="str">
        <f>IF(Débito!A76="","",Débito!B76)</f>
        <v/>
      </c>
      <c r="D76" s="2" t="str">
        <f>IF(Débito!A76="","",Débito!C76)</f>
        <v/>
      </c>
      <c r="E76" s="2" t="str">
        <f>IF(Débito!A76="","",Débito!D76)</f>
        <v/>
      </c>
      <c r="F76" s="5" t="str">
        <f>IF(Débito!A76="","",Débito!E76)</f>
        <v/>
      </c>
      <c r="G76" s="2" t="str">
        <f>IF(Débito!A76="","",Débito!F76)</f>
        <v/>
      </c>
      <c r="H76" s="2" t="str">
        <f>IF(Débito!A76="","",Débito!H76)</f>
        <v/>
      </c>
      <c r="I76" s="2" t="str">
        <f>IF(Débito!A76="","",Débito!G76)</f>
        <v/>
      </c>
    </row>
    <row r="77" spans="1:9" ht="16.5" customHeight="1">
      <c r="A77" s="2" t="str">
        <f>IF(Débito!A77="","","Débito")</f>
        <v/>
      </c>
      <c r="B77" s="4" t="str">
        <f>IF(Débito!A77="","",Débito!A77)</f>
        <v/>
      </c>
      <c r="C77" s="2" t="str">
        <f>IF(Débito!A77="","",Débito!B77)</f>
        <v/>
      </c>
      <c r="D77" s="2" t="str">
        <f>IF(Débito!A77="","",Débito!C77)</f>
        <v/>
      </c>
      <c r="E77" s="2" t="str">
        <f>IF(Débito!A77="","",Débito!D77)</f>
        <v/>
      </c>
      <c r="F77" s="5" t="str">
        <f>IF(Débito!A77="","",Débito!E77)</f>
        <v/>
      </c>
      <c r="G77" s="2" t="str">
        <f>IF(Débito!A77="","",Débito!F77)</f>
        <v/>
      </c>
      <c r="H77" s="2" t="str">
        <f>IF(Débito!A77="","",Débito!H77)</f>
        <v/>
      </c>
      <c r="I77" s="2" t="str">
        <f>IF(Débito!A77="","",Débito!G77)</f>
        <v/>
      </c>
    </row>
    <row r="78" spans="1:9" ht="16.5" customHeight="1">
      <c r="A78" s="2" t="str">
        <f>IF(Débito!A78="","","Débito")</f>
        <v/>
      </c>
      <c r="B78" s="4" t="str">
        <f>IF(Débito!A78="","",Débito!A78)</f>
        <v/>
      </c>
      <c r="C78" s="2" t="str">
        <f>IF(Débito!A78="","",Débito!B78)</f>
        <v/>
      </c>
      <c r="D78" s="2" t="str">
        <f>IF(Débito!A78="","",Débito!C78)</f>
        <v/>
      </c>
      <c r="E78" s="2" t="str">
        <f>IF(Débito!A78="","",Débito!D78)</f>
        <v/>
      </c>
      <c r="F78" s="5" t="str">
        <f>IF(Débito!A78="","",Débito!E78)</f>
        <v/>
      </c>
      <c r="G78" s="2" t="str">
        <f>IF(Débito!A78="","",Débito!F78)</f>
        <v/>
      </c>
      <c r="H78" s="2" t="str">
        <f>IF(Débito!A78="","",Débito!H78)</f>
        <v/>
      </c>
      <c r="I78" s="2" t="str">
        <f>IF(Débito!A78="","",Débito!G78)</f>
        <v/>
      </c>
    </row>
    <row r="79" spans="1:9" ht="16.5" customHeight="1">
      <c r="A79" s="2" t="str">
        <f>IF(Débito!A79="","","Débito")</f>
        <v/>
      </c>
      <c r="B79" s="4" t="str">
        <f>IF(Débito!A79="","",Débito!A79)</f>
        <v/>
      </c>
      <c r="C79" s="2" t="str">
        <f>IF(Débito!A79="","",Débito!B79)</f>
        <v/>
      </c>
      <c r="D79" s="2" t="str">
        <f>IF(Débito!A79="","",Débito!C79)</f>
        <v/>
      </c>
      <c r="E79" s="2" t="str">
        <f>IF(Débito!A79="","",Débito!D79)</f>
        <v/>
      </c>
      <c r="F79" s="5" t="str">
        <f>IF(Débito!A79="","",Débito!E79)</f>
        <v/>
      </c>
      <c r="G79" s="2" t="str">
        <f>IF(Débito!A79="","",Débito!F79)</f>
        <v/>
      </c>
      <c r="H79" s="2" t="str">
        <f>IF(Débito!A79="","",Débito!H79)</f>
        <v/>
      </c>
      <c r="I79" s="2" t="str">
        <f>IF(Débito!A79="","",Débito!G79)</f>
        <v/>
      </c>
    </row>
    <row r="80" spans="1:9" ht="16.5" customHeight="1">
      <c r="A80" s="2" t="str">
        <f>IF(Débito!A80="","","Débito")</f>
        <v/>
      </c>
      <c r="B80" s="4" t="str">
        <f>IF(Débito!A80="","",Débito!A80)</f>
        <v/>
      </c>
      <c r="C80" s="2" t="str">
        <f>IF(Débito!A80="","",Débito!B80)</f>
        <v/>
      </c>
      <c r="D80" s="2" t="str">
        <f>IF(Débito!A80="","",Débito!C80)</f>
        <v/>
      </c>
      <c r="E80" s="2" t="str">
        <f>IF(Débito!A80="","",Débito!D80)</f>
        <v/>
      </c>
      <c r="F80" s="5" t="str">
        <f>IF(Débito!A80="","",Débito!E80)</f>
        <v/>
      </c>
      <c r="G80" s="2" t="str">
        <f>IF(Débito!A80="","",Débito!F80)</f>
        <v/>
      </c>
      <c r="H80" s="2" t="str">
        <f>IF(Débito!A80="","",Débito!H80)</f>
        <v/>
      </c>
      <c r="I80" s="2" t="str">
        <f>IF(Débito!A80="","",Débito!G80)</f>
        <v/>
      </c>
    </row>
    <row r="81" spans="1:9" ht="16.5" customHeight="1">
      <c r="A81" s="2" t="str">
        <f>IF(Débito!A81="","","Débito")</f>
        <v/>
      </c>
      <c r="B81" s="4" t="str">
        <f>IF(Débito!A81="","",Débito!A81)</f>
        <v/>
      </c>
      <c r="C81" s="2" t="str">
        <f>IF(Débito!A81="","",Débito!B81)</f>
        <v/>
      </c>
      <c r="D81" s="2" t="str">
        <f>IF(Débito!A81="","",Débito!C81)</f>
        <v/>
      </c>
      <c r="E81" s="2" t="str">
        <f>IF(Débito!A81="","",Débito!D81)</f>
        <v/>
      </c>
      <c r="F81" s="5" t="str">
        <f>IF(Débito!A81="","",Débito!E81)</f>
        <v/>
      </c>
      <c r="G81" s="2" t="str">
        <f>IF(Débito!A81="","",Débito!F81)</f>
        <v/>
      </c>
      <c r="H81" s="2" t="str">
        <f>IF(Débito!A81="","",Débito!H81)</f>
        <v/>
      </c>
      <c r="I81" s="2" t="str">
        <f>IF(Débito!A81="","",Débito!G81)</f>
        <v/>
      </c>
    </row>
    <row r="82" spans="1:9" ht="16.5" customHeight="1">
      <c r="A82" s="2" t="str">
        <f>IF(Débito!A82="","","Débito")</f>
        <v/>
      </c>
      <c r="B82" s="4" t="str">
        <f>IF(Débito!A82="","",Débito!A82)</f>
        <v/>
      </c>
      <c r="C82" s="2" t="str">
        <f>IF(Débito!A82="","",Débito!B82)</f>
        <v/>
      </c>
      <c r="D82" s="2" t="str">
        <f>IF(Débito!A82="","",Débito!C82)</f>
        <v/>
      </c>
      <c r="E82" s="2" t="str">
        <f>IF(Débito!A82="","",Débito!D82)</f>
        <v/>
      </c>
      <c r="F82" s="5" t="str">
        <f>IF(Débito!A82="","",Débito!E82)</f>
        <v/>
      </c>
      <c r="G82" s="2" t="str">
        <f>IF(Débito!A82="","",Débito!F82)</f>
        <v/>
      </c>
      <c r="H82" s="2" t="str">
        <f>IF(Débito!A82="","",Débito!H82)</f>
        <v/>
      </c>
      <c r="I82" s="2" t="str">
        <f>IF(Débito!A82="","",Débito!G82)</f>
        <v/>
      </c>
    </row>
    <row r="83" spans="1:9" ht="16.5" customHeight="1">
      <c r="A83" s="2" t="str">
        <f>IF(Débito!A83="","","Débito")</f>
        <v/>
      </c>
      <c r="B83" s="4" t="str">
        <f>IF(Débito!A83="","",Débito!A83)</f>
        <v/>
      </c>
      <c r="C83" s="2" t="str">
        <f>IF(Débito!A83="","",Débito!B83)</f>
        <v/>
      </c>
      <c r="D83" s="2" t="str">
        <f>IF(Débito!A83="","",Débito!C83)</f>
        <v/>
      </c>
      <c r="E83" s="2" t="str">
        <f>IF(Débito!A83="","",Débito!D83)</f>
        <v/>
      </c>
      <c r="F83" s="5" t="str">
        <f>IF(Débito!A83="","",Débito!E83)</f>
        <v/>
      </c>
      <c r="G83" s="2" t="str">
        <f>IF(Débito!A83="","",Débito!F83)</f>
        <v/>
      </c>
      <c r="H83" s="2" t="str">
        <f>IF(Débito!A83="","",Débito!H83)</f>
        <v/>
      </c>
      <c r="I83" s="2" t="str">
        <f>IF(Débito!A83="","",Débito!G83)</f>
        <v/>
      </c>
    </row>
    <row r="84" spans="1:9" ht="16.5" customHeight="1">
      <c r="A84" s="2" t="str">
        <f>IF(Débito!A84="","","Débito")</f>
        <v/>
      </c>
      <c r="B84" s="4" t="str">
        <f>IF(Débito!A84="","",Débito!A84)</f>
        <v/>
      </c>
      <c r="C84" s="2" t="str">
        <f>IF(Débito!A84="","",Débito!B84)</f>
        <v/>
      </c>
      <c r="D84" s="2" t="str">
        <f>IF(Débito!A84="","",Débito!C84)</f>
        <v/>
      </c>
      <c r="E84" s="2" t="str">
        <f>IF(Débito!A84="","",Débito!D84)</f>
        <v/>
      </c>
      <c r="F84" s="5" t="str">
        <f>IF(Débito!A84="","",Débito!E84)</f>
        <v/>
      </c>
      <c r="G84" s="2" t="str">
        <f>IF(Débito!A84="","",Débito!F84)</f>
        <v/>
      </c>
      <c r="H84" s="2" t="str">
        <f>IF(Débito!A84="","",Débito!H84)</f>
        <v/>
      </c>
      <c r="I84" s="2" t="str">
        <f>IF(Débito!A84="","",Débito!G84)</f>
        <v/>
      </c>
    </row>
    <row r="85" spans="1:9" ht="16.5" customHeight="1">
      <c r="A85" s="2" t="str">
        <f>IF(Débito!A85="","","Débito")</f>
        <v/>
      </c>
      <c r="B85" s="4" t="str">
        <f>IF(Débito!A85="","",Débito!A85)</f>
        <v/>
      </c>
      <c r="C85" s="2" t="str">
        <f>IF(Débito!A85="","",Débito!B85)</f>
        <v/>
      </c>
      <c r="D85" s="2" t="str">
        <f>IF(Débito!A85="","",Débito!C85)</f>
        <v/>
      </c>
      <c r="E85" s="2" t="str">
        <f>IF(Débito!A85="","",Débito!D85)</f>
        <v/>
      </c>
      <c r="F85" s="5" t="str">
        <f>IF(Débito!A85="","",Débito!E85)</f>
        <v/>
      </c>
      <c r="G85" s="2" t="str">
        <f>IF(Débito!A85="","",Débito!F85)</f>
        <v/>
      </c>
      <c r="H85" s="2" t="str">
        <f>IF(Débito!A85="","",Débito!H85)</f>
        <v/>
      </c>
      <c r="I85" s="2" t="str">
        <f>IF(Débito!A85="","",Débito!G85)</f>
        <v/>
      </c>
    </row>
    <row r="86" spans="1:9" ht="16.5" customHeight="1">
      <c r="A86" s="2" t="str">
        <f>IF(Débito!A86="","","Débito")</f>
        <v/>
      </c>
      <c r="B86" s="4" t="str">
        <f>IF(Débito!A86="","",Débito!A86)</f>
        <v/>
      </c>
      <c r="C86" s="2" t="str">
        <f>IF(Débito!A86="","",Débito!B86)</f>
        <v/>
      </c>
      <c r="D86" s="2" t="str">
        <f>IF(Débito!A86="","",Débito!C86)</f>
        <v/>
      </c>
      <c r="E86" s="2" t="str">
        <f>IF(Débito!A86="","",Débito!D86)</f>
        <v/>
      </c>
      <c r="F86" s="5" t="str">
        <f>IF(Débito!A86="","",Débito!E86)</f>
        <v/>
      </c>
      <c r="G86" s="2" t="str">
        <f>IF(Débito!A86="","",Débito!F86)</f>
        <v/>
      </c>
      <c r="H86" s="2" t="str">
        <f>IF(Débito!A86="","",Débito!H86)</f>
        <v/>
      </c>
      <c r="I86" s="2" t="str">
        <f>IF(Débito!A86="","",Débito!G86)</f>
        <v/>
      </c>
    </row>
    <row r="87" spans="1:9" ht="16.5" customHeight="1">
      <c r="A87" s="2" t="str">
        <f>IF(Débito!A87="","","Débito")</f>
        <v/>
      </c>
      <c r="B87" s="4" t="str">
        <f>IF(Débito!A87="","",Débito!A87)</f>
        <v/>
      </c>
      <c r="C87" s="2" t="str">
        <f>IF(Débito!A87="","",Débito!B87)</f>
        <v/>
      </c>
      <c r="D87" s="2" t="str">
        <f>IF(Débito!A87="","",Débito!C87)</f>
        <v/>
      </c>
      <c r="E87" s="2" t="str">
        <f>IF(Débito!A87="","",Débito!D87)</f>
        <v/>
      </c>
      <c r="F87" s="5" t="str">
        <f>IF(Débito!A87="","",Débito!E87)</f>
        <v/>
      </c>
      <c r="G87" s="2" t="str">
        <f>IF(Débito!A87="","",Débito!F87)</f>
        <v/>
      </c>
      <c r="H87" s="2" t="str">
        <f>IF(Débito!A87="","",Débito!H87)</f>
        <v/>
      </c>
      <c r="I87" s="2" t="str">
        <f>IF(Débito!A87="","",Débito!G87)</f>
        <v/>
      </c>
    </row>
    <row r="88" spans="1:9" ht="16.5" customHeight="1">
      <c r="A88" s="2" t="str">
        <f>IF(Débito!A88="","","Débito")</f>
        <v/>
      </c>
      <c r="B88" s="4" t="str">
        <f>IF(Débito!A88="","",Débito!A88)</f>
        <v/>
      </c>
      <c r="C88" s="2" t="str">
        <f>IF(Débito!A88="","",Débito!B88)</f>
        <v/>
      </c>
      <c r="D88" s="2" t="str">
        <f>IF(Débito!A88="","",Débito!C88)</f>
        <v/>
      </c>
      <c r="E88" s="2" t="str">
        <f>IF(Débito!A88="","",Débito!D88)</f>
        <v/>
      </c>
      <c r="F88" s="5" t="str">
        <f>IF(Débito!A88="","",Débito!E88)</f>
        <v/>
      </c>
      <c r="G88" s="2" t="str">
        <f>IF(Débito!A88="","",Débito!F88)</f>
        <v/>
      </c>
      <c r="H88" s="2" t="str">
        <f>IF(Débito!A88="","",Débito!H88)</f>
        <v/>
      </c>
      <c r="I88" s="2" t="str">
        <f>IF(Débito!A88="","",Débito!G88)</f>
        <v/>
      </c>
    </row>
    <row r="89" spans="1:9" ht="16.5" customHeight="1">
      <c r="A89" s="2" t="str">
        <f>IF(Débito!A89="","","Débito")</f>
        <v/>
      </c>
      <c r="B89" s="4" t="str">
        <f>IF(Débito!A89="","",Débito!A89)</f>
        <v/>
      </c>
      <c r="C89" s="2" t="str">
        <f>IF(Débito!A89="","",Débito!B89)</f>
        <v/>
      </c>
      <c r="D89" s="2" t="str">
        <f>IF(Débito!A89="","",Débito!C89)</f>
        <v/>
      </c>
      <c r="E89" s="2" t="str">
        <f>IF(Débito!A89="","",Débito!D89)</f>
        <v/>
      </c>
      <c r="F89" s="5" t="str">
        <f>IF(Débito!A89="","",Débito!E89)</f>
        <v/>
      </c>
      <c r="G89" s="2" t="str">
        <f>IF(Débito!A89="","",Débito!F89)</f>
        <v/>
      </c>
      <c r="H89" s="2" t="str">
        <f>IF(Débito!A89="","",Débito!H89)</f>
        <v/>
      </c>
      <c r="I89" s="2" t="str">
        <f>IF(Débito!A89="","",Débito!G89)</f>
        <v/>
      </c>
    </row>
    <row r="90" spans="1:9" ht="16.5" customHeight="1">
      <c r="A90" s="2" t="str">
        <f>IF(Débito!A90="","","Débito")</f>
        <v/>
      </c>
      <c r="B90" s="4" t="str">
        <f>IF(Débito!A90="","",Débito!A90)</f>
        <v/>
      </c>
      <c r="C90" s="2" t="str">
        <f>IF(Débito!A90="","",Débito!B90)</f>
        <v/>
      </c>
      <c r="D90" s="2" t="str">
        <f>IF(Débito!A90="","",Débito!C90)</f>
        <v/>
      </c>
      <c r="E90" s="2" t="str">
        <f>IF(Débito!A90="","",Débito!D90)</f>
        <v/>
      </c>
      <c r="F90" s="5" t="str">
        <f>IF(Débito!A90="","",Débito!E90)</f>
        <v/>
      </c>
      <c r="G90" s="2" t="str">
        <f>IF(Débito!A90="","",Débito!F90)</f>
        <v/>
      </c>
      <c r="H90" s="2" t="str">
        <f>IF(Débito!A90="","",Débito!H90)</f>
        <v/>
      </c>
      <c r="I90" s="2" t="str">
        <f>IF(Débito!A90="","",Débito!G90)</f>
        <v/>
      </c>
    </row>
    <row r="91" spans="1:9" ht="16.5" customHeight="1">
      <c r="A91" s="2" t="str">
        <f>IF(Débito!A91="","","Débito")</f>
        <v/>
      </c>
      <c r="B91" s="4" t="str">
        <f>IF(Débito!A91="","",Débito!A91)</f>
        <v/>
      </c>
      <c r="C91" s="2" t="str">
        <f>IF(Débito!A91="","",Débito!B91)</f>
        <v/>
      </c>
      <c r="D91" s="2" t="str">
        <f>IF(Débito!A91="","",Débito!C91)</f>
        <v/>
      </c>
      <c r="E91" s="2" t="str">
        <f>IF(Débito!A91="","",Débito!D91)</f>
        <v/>
      </c>
      <c r="F91" s="5" t="str">
        <f>IF(Débito!A91="","",Débito!E91)</f>
        <v/>
      </c>
      <c r="G91" s="2" t="str">
        <f>IF(Débito!A91="","",Débito!F91)</f>
        <v/>
      </c>
      <c r="H91" s="2" t="str">
        <f>IF(Débito!A91="","",Débito!H91)</f>
        <v/>
      </c>
      <c r="I91" s="2" t="str">
        <f>IF(Débito!A91="","",Débito!G91)</f>
        <v/>
      </c>
    </row>
    <row r="92" spans="1:9" ht="16.5" customHeight="1">
      <c r="A92" s="2" t="str">
        <f>IF(Débito!A92="","","Débito")</f>
        <v/>
      </c>
      <c r="B92" s="4" t="str">
        <f>IF(Débito!A92="","",Débito!A92)</f>
        <v/>
      </c>
      <c r="C92" s="2" t="str">
        <f>IF(Débito!A92="","",Débito!B92)</f>
        <v/>
      </c>
      <c r="D92" s="2" t="str">
        <f>IF(Débito!A92="","",Débito!C92)</f>
        <v/>
      </c>
      <c r="E92" s="2" t="str">
        <f>IF(Débito!A92="","",Débito!D92)</f>
        <v/>
      </c>
      <c r="F92" s="5" t="str">
        <f>IF(Débito!A92="","",Débito!E92)</f>
        <v/>
      </c>
      <c r="G92" s="2" t="str">
        <f>IF(Débito!A92="","",Débito!F92)</f>
        <v/>
      </c>
      <c r="H92" s="2" t="str">
        <f>IF(Débito!A92="","",Débito!H92)</f>
        <v/>
      </c>
      <c r="I92" s="2" t="str">
        <f>IF(Débito!A92="","",Débito!G92)</f>
        <v/>
      </c>
    </row>
    <row r="93" spans="1:9" ht="16.5" customHeight="1">
      <c r="A93" s="2" t="str">
        <f>IF(Débito!A93="","","Débito")</f>
        <v/>
      </c>
      <c r="B93" s="4" t="str">
        <f>IF(Débito!A93="","",Débito!A93)</f>
        <v/>
      </c>
      <c r="C93" s="2" t="str">
        <f>IF(Débito!A93="","",Débito!B93)</f>
        <v/>
      </c>
      <c r="D93" s="2" t="str">
        <f>IF(Débito!A93="","",Débito!C93)</f>
        <v/>
      </c>
      <c r="E93" s="2" t="str">
        <f>IF(Débito!A93="","",Débito!D93)</f>
        <v/>
      </c>
      <c r="F93" s="5" t="str">
        <f>IF(Débito!A93="","",Débito!E93)</f>
        <v/>
      </c>
      <c r="G93" s="2" t="str">
        <f>IF(Débito!A93="","",Débito!F93)</f>
        <v/>
      </c>
      <c r="H93" s="2" t="str">
        <f>IF(Débito!A93="","",Débito!H93)</f>
        <v/>
      </c>
      <c r="I93" s="2" t="str">
        <f>IF(Débito!A93="","",Débito!G93)</f>
        <v/>
      </c>
    </row>
    <row r="94" spans="1:9" ht="16.5" customHeight="1">
      <c r="A94" s="2" t="str">
        <f>IF(Débito!A94="","","Débito")</f>
        <v/>
      </c>
      <c r="B94" s="4" t="str">
        <f>IF(Débito!A94="","",Débito!A94)</f>
        <v/>
      </c>
      <c r="C94" s="2" t="str">
        <f>IF(Débito!A94="","",Débito!B94)</f>
        <v/>
      </c>
      <c r="D94" s="2" t="str">
        <f>IF(Débito!A94="","",Débito!C94)</f>
        <v/>
      </c>
      <c r="E94" s="2" t="str">
        <f>IF(Débito!A94="","",Débito!D94)</f>
        <v/>
      </c>
      <c r="F94" s="5" t="str">
        <f>IF(Débito!A94="","",Débito!E94)</f>
        <v/>
      </c>
      <c r="G94" s="2" t="str">
        <f>IF(Débito!A94="","",Débito!F94)</f>
        <v/>
      </c>
      <c r="H94" s="2" t="str">
        <f>IF(Débito!A94="","",Débito!H94)</f>
        <v/>
      </c>
      <c r="I94" s="2" t="str">
        <f>IF(Débito!A94="","",Débito!G94)</f>
        <v/>
      </c>
    </row>
    <row r="95" spans="1:9" ht="16.5" customHeight="1">
      <c r="A95" s="2" t="str">
        <f>IF(Débito!A95="","","Débito")</f>
        <v/>
      </c>
      <c r="B95" s="4" t="str">
        <f>IF(Débito!A95="","",Débito!A95)</f>
        <v/>
      </c>
      <c r="C95" s="2" t="str">
        <f>IF(Débito!A95="","",Débito!B95)</f>
        <v/>
      </c>
      <c r="D95" s="2" t="str">
        <f>IF(Débito!A95="","",Débito!C95)</f>
        <v/>
      </c>
      <c r="E95" s="2" t="str">
        <f>IF(Débito!A95="","",Débito!D95)</f>
        <v/>
      </c>
      <c r="F95" s="5" t="str">
        <f>IF(Débito!A95="","",Débito!E95)</f>
        <v/>
      </c>
      <c r="G95" s="2" t="str">
        <f>IF(Débito!A95="","",Débito!F95)</f>
        <v/>
      </c>
      <c r="H95" s="2" t="str">
        <f>IF(Débito!A95="","",Débito!H95)</f>
        <v/>
      </c>
      <c r="I95" s="2" t="str">
        <f>IF(Débito!A95="","",Débito!G95)</f>
        <v/>
      </c>
    </row>
    <row r="96" spans="1:9" ht="16.5" customHeight="1">
      <c r="A96" s="2" t="str">
        <f>IF(Débito!A96="","","Débito")</f>
        <v/>
      </c>
      <c r="B96" s="4" t="str">
        <f>IF(Débito!A96="","",Débito!A96)</f>
        <v/>
      </c>
      <c r="C96" s="2" t="str">
        <f>IF(Débito!A96="","",Débito!B96)</f>
        <v/>
      </c>
      <c r="D96" s="2" t="str">
        <f>IF(Débito!A96="","",Débito!C96)</f>
        <v/>
      </c>
      <c r="E96" s="2" t="str">
        <f>IF(Débito!A96="","",Débito!D96)</f>
        <v/>
      </c>
      <c r="F96" s="5" t="str">
        <f>IF(Débito!A96="","",Débito!E96)</f>
        <v/>
      </c>
      <c r="G96" s="2" t="str">
        <f>IF(Débito!A96="","",Débito!F96)</f>
        <v/>
      </c>
      <c r="H96" s="2" t="str">
        <f>IF(Débito!A96="","",Débito!H96)</f>
        <v/>
      </c>
      <c r="I96" s="2" t="str">
        <f>IF(Débito!A96="","",Débito!G96)</f>
        <v/>
      </c>
    </row>
    <row r="97" spans="1:9" ht="16.5" customHeight="1">
      <c r="A97" s="2" t="str">
        <f>IF(Débito!A97="","","Débito")</f>
        <v/>
      </c>
      <c r="B97" s="4" t="str">
        <f>IF(Débito!A97="","",Débito!A97)</f>
        <v/>
      </c>
      <c r="C97" s="2" t="str">
        <f>IF(Débito!A97="","",Débito!B97)</f>
        <v/>
      </c>
      <c r="D97" s="2" t="str">
        <f>IF(Débito!A97="","",Débito!C97)</f>
        <v/>
      </c>
      <c r="E97" s="2" t="str">
        <f>IF(Débito!A97="","",Débito!D97)</f>
        <v/>
      </c>
      <c r="F97" s="5" t="str">
        <f>IF(Débito!A97="","",Débito!E97)</f>
        <v/>
      </c>
      <c r="G97" s="2" t="str">
        <f>IF(Débito!A97="","",Débito!F97)</f>
        <v/>
      </c>
      <c r="H97" s="2" t="str">
        <f>IF(Débito!A97="","",Débito!H97)</f>
        <v/>
      </c>
      <c r="I97" s="2" t="str">
        <f>IF(Débito!A97="","",Débito!G97)</f>
        <v/>
      </c>
    </row>
    <row r="98" spans="1:9" ht="16.5" customHeight="1">
      <c r="A98" s="2" t="str">
        <f>IF(Débito!A98="","","Débito")</f>
        <v/>
      </c>
      <c r="B98" s="4" t="str">
        <f>IF(Débito!A98="","",Débito!A98)</f>
        <v/>
      </c>
      <c r="C98" s="2" t="str">
        <f>IF(Débito!A98="","",Débito!B98)</f>
        <v/>
      </c>
      <c r="D98" s="2" t="str">
        <f>IF(Débito!A98="","",Débito!C98)</f>
        <v/>
      </c>
      <c r="E98" s="2" t="str">
        <f>IF(Débito!A98="","",Débito!D98)</f>
        <v/>
      </c>
      <c r="F98" s="5" t="str">
        <f>IF(Débito!A98="","",Débito!E98)</f>
        <v/>
      </c>
      <c r="G98" s="2" t="str">
        <f>IF(Débito!A98="","",Débito!F98)</f>
        <v/>
      </c>
      <c r="H98" s="2" t="str">
        <f>IF(Débito!A98="","",Débito!H98)</f>
        <v/>
      </c>
      <c r="I98" s="2" t="str">
        <f>IF(Débito!A98="","",Débito!G98)</f>
        <v/>
      </c>
    </row>
    <row r="99" spans="1:9" ht="16.5" customHeight="1">
      <c r="A99" s="2" t="str">
        <f>IF(Débito!A99="","","Débito")</f>
        <v/>
      </c>
      <c r="B99" s="4" t="str">
        <f>IF(Débito!A99="","",Débito!A99)</f>
        <v/>
      </c>
      <c r="C99" s="2" t="str">
        <f>IF(Débito!A99="","",Débito!B99)</f>
        <v/>
      </c>
      <c r="D99" s="2" t="str">
        <f>IF(Débito!A99="","",Débito!C99)</f>
        <v/>
      </c>
      <c r="E99" s="2" t="str">
        <f>IF(Débito!A99="","",Débito!D99)</f>
        <v/>
      </c>
      <c r="F99" s="5" t="str">
        <f>IF(Débito!A99="","",Débito!E99)</f>
        <v/>
      </c>
      <c r="G99" s="2" t="str">
        <f>IF(Débito!A99="","",Débito!F99)</f>
        <v/>
      </c>
      <c r="H99" s="2" t="str">
        <f>IF(Débito!A99="","",Débito!H99)</f>
        <v/>
      </c>
      <c r="I99" s="2" t="str">
        <f>IF(Débito!A99="","",Débito!G99)</f>
        <v/>
      </c>
    </row>
    <row r="100" spans="1:9" ht="16.5" customHeight="1">
      <c r="A100" s="2" t="str">
        <f>IF(Débito!A100="","","Débito")</f>
        <v/>
      </c>
      <c r="B100" s="4" t="str">
        <f>IF(Débito!A100="","",Débito!A100)</f>
        <v/>
      </c>
      <c r="C100" s="2" t="str">
        <f>IF(Débito!A100="","",Débito!B100)</f>
        <v/>
      </c>
      <c r="D100" s="2" t="str">
        <f>IF(Débito!A100="","",Débito!C100)</f>
        <v/>
      </c>
      <c r="E100" s="2" t="str">
        <f>IF(Débito!A100="","",Débito!D100)</f>
        <v/>
      </c>
      <c r="F100" s="5" t="str">
        <f>IF(Débito!A100="","",Débito!E100)</f>
        <v/>
      </c>
      <c r="G100" s="2" t="str">
        <f>IF(Débito!A100="","",Débito!F100)</f>
        <v/>
      </c>
      <c r="H100" s="2" t="str">
        <f>IF(Débito!A100="","",Débito!H100)</f>
        <v/>
      </c>
      <c r="I100" s="2" t="str">
        <f>IF(Débito!A100="","",Débito!G100)</f>
        <v/>
      </c>
    </row>
    <row r="101" spans="1:9" ht="16.5" customHeight="1">
      <c r="A101" s="2" t="str">
        <f>IF(Débito!A101="","","Débito")</f>
        <v/>
      </c>
      <c r="B101" s="4" t="str">
        <f>IF(Débito!A101="","",Débito!A101)</f>
        <v/>
      </c>
      <c r="C101" s="2" t="str">
        <f>IF(Débito!A101="","",Débito!B101)</f>
        <v/>
      </c>
      <c r="D101" s="2" t="str">
        <f>IF(Débito!A101="","",Débito!C101)</f>
        <v/>
      </c>
      <c r="E101" s="2" t="str">
        <f>IF(Débito!A101="","",Débito!D101)</f>
        <v/>
      </c>
      <c r="F101" s="5" t="str">
        <f>IF(Débito!A101="","",Débito!E101)</f>
        <v/>
      </c>
      <c r="G101" s="2" t="str">
        <f>IF(Débito!A101="","",Débito!F101)</f>
        <v/>
      </c>
      <c r="H101" s="2" t="str">
        <f>IF(Débito!A101="","",Débito!H101)</f>
        <v/>
      </c>
      <c r="I101" s="2" t="str">
        <f>IF(Débito!A101="","",Débito!G101)</f>
        <v/>
      </c>
    </row>
    <row r="102" spans="1:9" ht="16.5" customHeight="1">
      <c r="A102" s="2" t="str">
        <f>IF(Débito!A102="","","Débito")</f>
        <v/>
      </c>
      <c r="B102" s="4" t="str">
        <f>IF(Débito!A102="","",Débito!A102)</f>
        <v/>
      </c>
      <c r="C102" s="2" t="str">
        <f>IF(Débito!A102="","",Débito!B102)</f>
        <v/>
      </c>
      <c r="D102" s="2" t="str">
        <f>IF(Débito!A102="","",Débito!C102)</f>
        <v/>
      </c>
      <c r="E102" s="2" t="str">
        <f>IF(Débito!A102="","",Débito!D102)</f>
        <v/>
      </c>
      <c r="F102" s="5" t="str">
        <f>IF(Débito!A102="","",Débito!E102)</f>
        <v/>
      </c>
      <c r="G102" s="2" t="str">
        <f>IF(Débito!A102="","",Débito!F102)</f>
        <v/>
      </c>
      <c r="H102" s="2" t="str">
        <f>IF(Débito!A102="","",Débito!H102)</f>
        <v/>
      </c>
      <c r="I102" s="2" t="str">
        <f>IF(Débito!A102="","",Débito!G102)</f>
        <v/>
      </c>
    </row>
    <row r="103" spans="1:9" ht="16.5" customHeight="1">
      <c r="A103" s="2" t="str">
        <f>IF(Débito!A103="","","Débito")</f>
        <v/>
      </c>
      <c r="B103" s="4" t="str">
        <f>IF(Débito!A103="","",Débito!A103)</f>
        <v/>
      </c>
      <c r="C103" s="2" t="str">
        <f>IF(Débito!A103="","",Débito!B103)</f>
        <v/>
      </c>
      <c r="D103" s="2" t="str">
        <f>IF(Débito!A103="","",Débito!C103)</f>
        <v/>
      </c>
      <c r="E103" s="2" t="str">
        <f>IF(Débito!A103="","",Débito!D103)</f>
        <v/>
      </c>
      <c r="F103" s="5" t="str">
        <f>IF(Débito!A103="","",Débito!E103)</f>
        <v/>
      </c>
      <c r="G103" s="2" t="str">
        <f>IF(Débito!A103="","",Débito!F103)</f>
        <v/>
      </c>
      <c r="H103" s="2" t="str">
        <f>IF(Débito!A103="","",Débito!H103)</f>
        <v/>
      </c>
      <c r="I103" s="2" t="str">
        <f>IF(Débito!A103="","",Débito!G103)</f>
        <v/>
      </c>
    </row>
    <row r="104" spans="1:9" ht="16.5" customHeight="1">
      <c r="A104" s="2" t="str">
        <f>IF(Débito!A104="","","Débito")</f>
        <v/>
      </c>
      <c r="B104" s="4" t="str">
        <f>IF(Débito!A104="","",Débito!A104)</f>
        <v/>
      </c>
      <c r="C104" s="2" t="str">
        <f>IF(Débito!A104="","",Débito!B104)</f>
        <v/>
      </c>
      <c r="D104" s="2" t="str">
        <f>IF(Débito!A104="","",Débito!C104)</f>
        <v/>
      </c>
      <c r="E104" s="2" t="str">
        <f>IF(Débito!A104="","",Débito!D104)</f>
        <v/>
      </c>
      <c r="F104" s="5" t="str">
        <f>IF(Débito!A104="","",Débito!E104)</f>
        <v/>
      </c>
      <c r="G104" s="2" t="str">
        <f>IF(Débito!A104="","",Débito!F104)</f>
        <v/>
      </c>
      <c r="H104" s="2" t="str">
        <f>IF(Débito!A104="","",Débito!H104)</f>
        <v/>
      </c>
      <c r="I104" s="2" t="str">
        <f>IF(Débito!A104="","",Débito!G104)</f>
        <v/>
      </c>
    </row>
    <row r="105" spans="1:9" ht="16.5" customHeight="1">
      <c r="A105" s="2" t="str">
        <f>IF(Débito!A105="","","Débito")</f>
        <v/>
      </c>
      <c r="B105" s="4" t="str">
        <f>IF(Débito!A105="","",Débito!A105)</f>
        <v/>
      </c>
      <c r="C105" s="2" t="str">
        <f>IF(Débito!A105="","",Débito!B105)</f>
        <v/>
      </c>
      <c r="D105" s="2" t="str">
        <f>IF(Débito!A105="","",Débito!C105)</f>
        <v/>
      </c>
      <c r="E105" s="2" t="str">
        <f>IF(Débito!A105="","",Débito!D105)</f>
        <v/>
      </c>
      <c r="F105" s="5" t="str">
        <f>IF(Débito!A105="","",Débito!E105)</f>
        <v/>
      </c>
      <c r="G105" s="2" t="str">
        <f>IF(Débito!A105="","",Débito!F105)</f>
        <v/>
      </c>
      <c r="H105" s="2" t="str">
        <f>IF(Débito!A105="","",Débito!H105)</f>
        <v/>
      </c>
      <c r="I105" s="2" t="str">
        <f>IF(Débito!A105="","",Débito!G105)</f>
        <v/>
      </c>
    </row>
    <row r="106" spans="1:9" ht="16.5" customHeight="1">
      <c r="A106" s="2" t="str">
        <f>IF(Débito!A106="","","Débito")</f>
        <v/>
      </c>
      <c r="B106" s="4" t="str">
        <f>IF(Débito!A106="","",Débito!A106)</f>
        <v/>
      </c>
      <c r="C106" s="2" t="str">
        <f>IF(Débito!A106="","",Débito!B106)</f>
        <v/>
      </c>
      <c r="D106" s="2" t="str">
        <f>IF(Débito!A106="","",Débito!C106)</f>
        <v/>
      </c>
      <c r="E106" s="2" t="str">
        <f>IF(Débito!A106="","",Débito!D106)</f>
        <v/>
      </c>
      <c r="F106" s="5" t="str">
        <f>IF(Débito!A106="","",Débito!E106)</f>
        <v/>
      </c>
      <c r="G106" s="2" t="str">
        <f>IF(Débito!A106="","",Débito!F106)</f>
        <v/>
      </c>
      <c r="H106" s="2" t="str">
        <f>IF(Débito!A106="","",Débito!H106)</f>
        <v/>
      </c>
      <c r="I106" s="2" t="str">
        <f>IF(Débito!A106="","",Débito!G106)</f>
        <v/>
      </c>
    </row>
    <row r="107" spans="1:9" ht="16.5" customHeight="1">
      <c r="A107" s="2" t="str">
        <f>IF(Débito!A107="","","Débito")</f>
        <v/>
      </c>
      <c r="B107" s="4" t="str">
        <f>IF(Débito!A107="","",Débito!A107)</f>
        <v/>
      </c>
      <c r="C107" s="2" t="str">
        <f>IF(Débito!A107="","",Débito!B107)</f>
        <v/>
      </c>
      <c r="D107" s="2" t="str">
        <f>IF(Débito!A107="","",Débito!C107)</f>
        <v/>
      </c>
      <c r="E107" s="2" t="str">
        <f>IF(Débito!A107="","",Débito!D107)</f>
        <v/>
      </c>
      <c r="F107" s="5" t="str">
        <f>IF(Débito!A107="","",Débito!E107)</f>
        <v/>
      </c>
      <c r="G107" s="2" t="str">
        <f>IF(Débito!A107="","",Débito!F107)</f>
        <v/>
      </c>
      <c r="H107" s="2" t="str">
        <f>IF(Débito!A107="","",Débito!H107)</f>
        <v/>
      </c>
      <c r="I107" s="2" t="str">
        <f>IF(Débito!A107="","",Débito!G107)</f>
        <v/>
      </c>
    </row>
    <row r="108" spans="1:9" ht="16.5" customHeight="1">
      <c r="A108" s="2" t="str">
        <f>IF(Débito!A108="","","Débito")</f>
        <v/>
      </c>
      <c r="B108" s="4" t="str">
        <f>IF(Débito!A108="","",Débito!A108)</f>
        <v/>
      </c>
      <c r="C108" s="2" t="str">
        <f>IF(Débito!A108="","",Débito!B108)</f>
        <v/>
      </c>
      <c r="D108" s="2" t="str">
        <f>IF(Débito!A108="","",Débito!C108)</f>
        <v/>
      </c>
      <c r="E108" s="2" t="str">
        <f>IF(Débito!A108="","",Débito!D108)</f>
        <v/>
      </c>
      <c r="F108" s="5" t="str">
        <f>IF(Débito!A108="","",Débito!E108)</f>
        <v/>
      </c>
      <c r="G108" s="2" t="str">
        <f>IF(Débito!A108="","",Débito!F108)</f>
        <v/>
      </c>
      <c r="H108" s="2" t="str">
        <f>IF(Débito!A108="","",Débito!H108)</f>
        <v/>
      </c>
      <c r="I108" s="2" t="str">
        <f>IF(Débito!A108="","",Débito!G108)</f>
        <v/>
      </c>
    </row>
    <row r="109" spans="1:9" ht="16.5" customHeight="1">
      <c r="A109" s="2" t="str">
        <f>IF(Débito!A109="","","Débito")</f>
        <v/>
      </c>
      <c r="B109" s="4" t="str">
        <f>IF(Débito!A109="","",Débito!A109)</f>
        <v/>
      </c>
      <c r="C109" s="2" t="str">
        <f>IF(Débito!A109="","",Débito!B109)</f>
        <v/>
      </c>
      <c r="D109" s="2" t="str">
        <f>IF(Débito!A109="","",Débito!C109)</f>
        <v/>
      </c>
      <c r="E109" s="2" t="str">
        <f>IF(Débito!A109="","",Débito!D109)</f>
        <v/>
      </c>
      <c r="F109" s="5" t="str">
        <f>IF(Débito!A109="","",Débito!E109)</f>
        <v/>
      </c>
      <c r="G109" s="2" t="str">
        <f>IF(Débito!A109="","",Débito!F109)</f>
        <v/>
      </c>
      <c r="H109" s="2" t="str">
        <f>IF(Débito!A109="","",Débito!H109)</f>
        <v/>
      </c>
      <c r="I109" s="2" t="str">
        <f>IF(Débito!A109="","",Débito!G109)</f>
        <v/>
      </c>
    </row>
    <row r="110" spans="1:9" ht="16.5" customHeight="1">
      <c r="A110" s="2" t="str">
        <f>IF(Débito!A110="","","Débito")</f>
        <v/>
      </c>
      <c r="B110" s="4" t="str">
        <f>IF(Débito!A110="","",Débito!A110)</f>
        <v/>
      </c>
      <c r="C110" s="2" t="str">
        <f>IF(Débito!A110="","",Débito!B110)</f>
        <v/>
      </c>
      <c r="D110" s="2" t="str">
        <f>IF(Débito!A110="","",Débito!C110)</f>
        <v/>
      </c>
      <c r="E110" s="2" t="str">
        <f>IF(Débito!A110="","",Débito!D110)</f>
        <v/>
      </c>
      <c r="F110" s="5" t="str">
        <f>IF(Débito!A110="","",Débito!E110)</f>
        <v/>
      </c>
      <c r="G110" s="2" t="str">
        <f>IF(Débito!A110="","",Débito!F110)</f>
        <v/>
      </c>
      <c r="H110" s="2" t="str">
        <f>IF(Débito!A110="","",Débito!H110)</f>
        <v/>
      </c>
      <c r="I110" s="2" t="str">
        <f>IF(Débito!A110="","",Débito!G110)</f>
        <v/>
      </c>
    </row>
    <row r="111" spans="1:9" ht="16.5" customHeight="1">
      <c r="A111" s="2" t="str">
        <f>IF(Débito!A111="","","Débito")</f>
        <v/>
      </c>
      <c r="B111" s="4" t="str">
        <f>IF(Débito!A111="","",Débito!A111)</f>
        <v/>
      </c>
      <c r="C111" s="2" t="str">
        <f>IF(Débito!A111="","",Débito!B111)</f>
        <v/>
      </c>
      <c r="D111" s="2" t="str">
        <f>IF(Débito!A111="","",Débito!C111)</f>
        <v/>
      </c>
      <c r="E111" s="2" t="str">
        <f>IF(Débito!A111="","",Débito!D111)</f>
        <v/>
      </c>
      <c r="F111" s="5" t="str">
        <f>IF(Débito!A111="","",Débito!E111)</f>
        <v/>
      </c>
      <c r="G111" s="2" t="str">
        <f>IF(Débito!A111="","",Débito!F111)</f>
        <v/>
      </c>
      <c r="H111" s="2" t="str">
        <f>IF(Débito!A111="","",Débito!H111)</f>
        <v/>
      </c>
      <c r="I111" s="2" t="str">
        <f>IF(Débito!A111="","",Débito!G111)</f>
        <v/>
      </c>
    </row>
    <row r="112" spans="1:9" ht="16.5" customHeight="1">
      <c r="A112" s="2" t="str">
        <f>IF(Débito!A112="","","Débito")</f>
        <v/>
      </c>
      <c r="B112" s="4" t="str">
        <f>IF(Débito!A112="","",Débito!A112)</f>
        <v/>
      </c>
      <c r="C112" s="2" t="str">
        <f>IF(Débito!A112="","",Débito!B112)</f>
        <v/>
      </c>
      <c r="D112" s="2" t="str">
        <f>IF(Débito!A112="","",Débito!C112)</f>
        <v/>
      </c>
      <c r="E112" s="2" t="str">
        <f>IF(Débito!A112="","",Débito!D112)</f>
        <v/>
      </c>
      <c r="F112" s="5" t="str">
        <f>IF(Débito!A112="","",Débito!E112)</f>
        <v/>
      </c>
      <c r="G112" s="2" t="str">
        <f>IF(Débito!A112="","",Débito!F112)</f>
        <v/>
      </c>
      <c r="H112" s="2" t="str">
        <f>IF(Débito!A112="","",Débito!H112)</f>
        <v/>
      </c>
      <c r="I112" s="2" t="str">
        <f>IF(Débito!A112="","",Débito!G112)</f>
        <v/>
      </c>
    </row>
    <row r="113" spans="1:9" ht="16.5" customHeight="1">
      <c r="A113" s="2" t="str">
        <f>IF(Débito!A113="","","Débito")</f>
        <v/>
      </c>
      <c r="B113" s="4" t="str">
        <f>IF(Débito!A113="","",Débito!A113)</f>
        <v/>
      </c>
      <c r="C113" s="2" t="str">
        <f>IF(Débito!A113="","",Débito!B113)</f>
        <v/>
      </c>
      <c r="D113" s="2" t="str">
        <f>IF(Débito!A113="","",Débito!C113)</f>
        <v/>
      </c>
      <c r="E113" s="2" t="str">
        <f>IF(Débito!A113="","",Débito!D113)</f>
        <v/>
      </c>
      <c r="F113" s="5" t="str">
        <f>IF(Débito!A113="","",Débito!E113)</f>
        <v/>
      </c>
      <c r="G113" s="2" t="str">
        <f>IF(Débito!A113="","",Débito!F113)</f>
        <v/>
      </c>
      <c r="H113" s="2" t="str">
        <f>IF(Débito!A113="","",Débito!H113)</f>
        <v/>
      </c>
      <c r="I113" s="2" t="str">
        <f>IF(Débito!A113="","",Débito!G113)</f>
        <v/>
      </c>
    </row>
    <row r="114" spans="1:9" ht="16.5" customHeight="1">
      <c r="A114" s="2" t="str">
        <f>IF(Débito!A114="","","Débito")</f>
        <v/>
      </c>
      <c r="B114" s="4" t="str">
        <f>IF(Débito!A114="","",Débito!A114)</f>
        <v/>
      </c>
      <c r="C114" s="2" t="str">
        <f>IF(Débito!A114="","",Débito!B114)</f>
        <v/>
      </c>
      <c r="D114" s="2" t="str">
        <f>IF(Débito!A114="","",Débito!C114)</f>
        <v/>
      </c>
      <c r="E114" s="2" t="str">
        <f>IF(Débito!A114="","",Débito!D114)</f>
        <v/>
      </c>
      <c r="F114" s="5" t="str">
        <f>IF(Débito!A114="","",Débito!E114)</f>
        <v/>
      </c>
      <c r="G114" s="2" t="str">
        <f>IF(Débito!A114="","",Débito!F114)</f>
        <v/>
      </c>
      <c r="H114" s="2" t="str">
        <f>IF(Débito!A114="","",Débito!H114)</f>
        <v/>
      </c>
      <c r="I114" s="2" t="str">
        <f>IF(Débito!A114="","",Débito!G114)</f>
        <v/>
      </c>
    </row>
    <row r="115" spans="1:9" ht="16.5" customHeight="1">
      <c r="A115" s="2" t="str">
        <f>IF(Débito!A115="","","Débito")</f>
        <v/>
      </c>
      <c r="B115" s="4" t="str">
        <f>IF(Débito!A115="","",Débito!A115)</f>
        <v/>
      </c>
      <c r="C115" s="2" t="str">
        <f>IF(Débito!A115="","",Débito!B115)</f>
        <v/>
      </c>
      <c r="D115" s="2" t="str">
        <f>IF(Débito!A115="","",Débito!C115)</f>
        <v/>
      </c>
      <c r="E115" s="2" t="str">
        <f>IF(Débito!A115="","",Débito!D115)</f>
        <v/>
      </c>
      <c r="F115" s="5" t="str">
        <f>IF(Débito!A115="","",Débito!E115)</f>
        <v/>
      </c>
      <c r="G115" s="2" t="str">
        <f>IF(Débito!A115="","",Débito!F115)</f>
        <v/>
      </c>
      <c r="H115" s="2" t="str">
        <f>IF(Débito!A115="","",Débito!H115)</f>
        <v/>
      </c>
      <c r="I115" s="2" t="str">
        <f>IF(Débito!A115="","",Débito!G115)</f>
        <v/>
      </c>
    </row>
    <row r="116" spans="1:9" ht="16.5" customHeight="1">
      <c r="A116" s="2" t="str">
        <f>IF(Débito!A116="","","Débito")</f>
        <v/>
      </c>
      <c r="B116" s="4" t="str">
        <f>IF(Débito!A116="","",Débito!A116)</f>
        <v/>
      </c>
      <c r="C116" s="2" t="str">
        <f>IF(Débito!A116="","",Débito!B116)</f>
        <v/>
      </c>
      <c r="D116" s="2" t="str">
        <f>IF(Débito!A116="","",Débito!C116)</f>
        <v/>
      </c>
      <c r="E116" s="2" t="str">
        <f>IF(Débito!A116="","",Débito!D116)</f>
        <v/>
      </c>
      <c r="F116" s="5" t="str">
        <f>IF(Débito!A116="","",Débito!E116)</f>
        <v/>
      </c>
      <c r="G116" s="2" t="str">
        <f>IF(Débito!A116="","",Débito!F116)</f>
        <v/>
      </c>
      <c r="H116" s="2" t="str">
        <f>IF(Débito!A116="","",Débito!H116)</f>
        <v/>
      </c>
      <c r="I116" s="2" t="str">
        <f>IF(Débito!A116="","",Débito!G116)</f>
        <v/>
      </c>
    </row>
    <row r="117" spans="1:9" ht="16.5" customHeight="1">
      <c r="A117" s="2" t="str">
        <f>IF(Débito!A117="","","Débito")</f>
        <v/>
      </c>
      <c r="B117" s="4" t="str">
        <f>IF(Débito!A117="","",Débito!A117)</f>
        <v/>
      </c>
      <c r="C117" s="2" t="str">
        <f>IF(Débito!A117="","",Débito!B117)</f>
        <v/>
      </c>
      <c r="D117" s="2" t="str">
        <f>IF(Débito!A117="","",Débito!C117)</f>
        <v/>
      </c>
      <c r="E117" s="2" t="str">
        <f>IF(Débito!A117="","",Débito!D117)</f>
        <v/>
      </c>
      <c r="F117" s="5" t="str">
        <f>IF(Débito!A117="","",Débito!E117)</f>
        <v/>
      </c>
      <c r="G117" s="2" t="str">
        <f>IF(Débito!A117="","",Débito!F117)</f>
        <v/>
      </c>
      <c r="H117" s="2" t="str">
        <f>IF(Débito!A117="","",Débito!H117)</f>
        <v/>
      </c>
      <c r="I117" s="2" t="str">
        <f>IF(Débito!A117="","",Débito!G117)</f>
        <v/>
      </c>
    </row>
    <row r="118" spans="1:9" ht="16.5" customHeight="1">
      <c r="A118" s="2" t="str">
        <f>IF(Débito!A118="","","Débito")</f>
        <v/>
      </c>
      <c r="B118" s="4" t="str">
        <f>IF(Débito!A118="","",Débito!A118)</f>
        <v/>
      </c>
      <c r="C118" s="2" t="str">
        <f>IF(Débito!A118="","",Débito!B118)</f>
        <v/>
      </c>
      <c r="D118" s="2" t="str">
        <f>IF(Débito!A118="","",Débito!C118)</f>
        <v/>
      </c>
      <c r="E118" s="2" t="str">
        <f>IF(Débito!A118="","",Débito!D118)</f>
        <v/>
      </c>
      <c r="F118" s="5" t="str">
        <f>IF(Débito!A118="","",Débito!E118)</f>
        <v/>
      </c>
      <c r="G118" s="2" t="str">
        <f>IF(Débito!A118="","",Débito!F118)</f>
        <v/>
      </c>
      <c r="H118" s="2" t="str">
        <f>IF(Débito!A118="","",Débito!H118)</f>
        <v/>
      </c>
      <c r="I118" s="2" t="str">
        <f>IF(Débito!A118="","",Débito!G118)</f>
        <v/>
      </c>
    </row>
    <row r="119" spans="1:9" ht="16.5" customHeight="1">
      <c r="A119" s="2" t="str">
        <f>IF(Débito!A119="","","Débito")</f>
        <v/>
      </c>
      <c r="B119" s="4" t="str">
        <f>IF(Débito!A119="","",Débito!A119)</f>
        <v/>
      </c>
      <c r="C119" s="2" t="str">
        <f>IF(Débito!A119="","",Débito!B119)</f>
        <v/>
      </c>
      <c r="D119" s="2" t="str">
        <f>IF(Débito!A119="","",Débito!C119)</f>
        <v/>
      </c>
      <c r="E119" s="2" t="str">
        <f>IF(Débito!A119="","",Débito!D119)</f>
        <v/>
      </c>
      <c r="F119" s="5" t="str">
        <f>IF(Débito!A119="","",Débito!E119)</f>
        <v/>
      </c>
      <c r="G119" s="2" t="str">
        <f>IF(Débito!A119="","",Débito!F119)</f>
        <v/>
      </c>
      <c r="H119" s="2" t="str">
        <f>IF(Débito!A119="","",Débito!H119)</f>
        <v/>
      </c>
      <c r="I119" s="2" t="str">
        <f>IF(Débito!A119="","",Débito!G119)</f>
        <v/>
      </c>
    </row>
    <row r="120" spans="1:9" ht="16.5" customHeight="1">
      <c r="A120" s="2" t="str">
        <f>IF(Débito!A120="","","Débito")</f>
        <v/>
      </c>
      <c r="B120" s="4" t="str">
        <f>IF(Débito!A120="","",Débito!A120)</f>
        <v/>
      </c>
      <c r="C120" s="2" t="str">
        <f>IF(Débito!A120="","",Débito!B120)</f>
        <v/>
      </c>
      <c r="D120" s="2" t="str">
        <f>IF(Débito!A120="","",Débito!C120)</f>
        <v/>
      </c>
      <c r="E120" s="2" t="str">
        <f>IF(Débito!A120="","",Débito!D120)</f>
        <v/>
      </c>
      <c r="F120" s="5" t="str">
        <f>IF(Débito!A120="","",Débito!E120)</f>
        <v/>
      </c>
      <c r="G120" s="2" t="str">
        <f>IF(Débito!A120="","",Débito!F120)</f>
        <v/>
      </c>
      <c r="H120" s="2" t="str">
        <f>IF(Débito!A120="","",Débito!H120)</f>
        <v/>
      </c>
      <c r="I120" s="2" t="str">
        <f>IF(Débito!A120="","",Débito!G120)</f>
        <v/>
      </c>
    </row>
    <row r="121" spans="1:9" ht="16.5" customHeight="1">
      <c r="A121" s="2" t="str">
        <f>IF(Débito!A121="","","Débito")</f>
        <v/>
      </c>
      <c r="B121" s="4" t="str">
        <f>IF(Débito!A121="","",Débito!A121)</f>
        <v/>
      </c>
      <c r="C121" s="2" t="str">
        <f>IF(Débito!A121="","",Débito!B121)</f>
        <v/>
      </c>
      <c r="D121" s="2" t="str">
        <f>IF(Débito!A121="","",Débito!C121)</f>
        <v/>
      </c>
      <c r="E121" s="2" t="str">
        <f>IF(Débito!A121="","",Débito!D121)</f>
        <v/>
      </c>
      <c r="F121" s="5" t="str">
        <f>IF(Débito!A121="","",Débito!E121)</f>
        <v/>
      </c>
      <c r="G121" s="2" t="str">
        <f>IF(Débito!A121="","",Débito!F121)</f>
        <v/>
      </c>
      <c r="H121" s="2" t="str">
        <f>IF(Débito!A121="","",Débito!H121)</f>
        <v/>
      </c>
      <c r="I121" s="2" t="str">
        <f>IF(Débito!A121="","",Débito!G121)</f>
        <v/>
      </c>
    </row>
    <row r="122" spans="1:9" ht="16.5" customHeight="1">
      <c r="A122" s="2" t="str">
        <f>IF(Débito!A122="","","Débito")</f>
        <v/>
      </c>
      <c r="B122" s="4" t="str">
        <f>IF(Débito!A122="","",Débito!A122)</f>
        <v/>
      </c>
      <c r="C122" s="2" t="str">
        <f>IF(Débito!A122="","",Débito!B122)</f>
        <v/>
      </c>
      <c r="D122" s="2" t="str">
        <f>IF(Débito!A122="","",Débito!C122)</f>
        <v/>
      </c>
      <c r="E122" s="2" t="str">
        <f>IF(Débito!A122="","",Débito!D122)</f>
        <v/>
      </c>
      <c r="F122" s="5" t="str">
        <f>IF(Débito!A122="","",Débito!E122)</f>
        <v/>
      </c>
      <c r="G122" s="2" t="str">
        <f>IF(Débito!A122="","",Débito!F122)</f>
        <v/>
      </c>
      <c r="H122" s="2" t="str">
        <f>IF(Débito!A122="","",Débito!H122)</f>
        <v/>
      </c>
      <c r="I122" s="2" t="str">
        <f>IF(Débito!A122="","",Débito!G122)</f>
        <v/>
      </c>
    </row>
    <row r="123" spans="1:9" ht="16.5" customHeight="1">
      <c r="A123" s="2" t="str">
        <f>IF(Débito!A123="","","Débito")</f>
        <v/>
      </c>
      <c r="B123" s="4" t="str">
        <f>IF(Débito!A123="","",Débito!A123)</f>
        <v/>
      </c>
      <c r="C123" s="2" t="str">
        <f>IF(Débito!A123="","",Débito!B123)</f>
        <v/>
      </c>
      <c r="D123" s="2" t="str">
        <f>IF(Débito!A123="","",Débito!C123)</f>
        <v/>
      </c>
      <c r="E123" s="2" t="str">
        <f>IF(Débito!A123="","",Débito!D123)</f>
        <v/>
      </c>
      <c r="F123" s="5" t="str">
        <f>IF(Débito!A123="","",Débito!E123)</f>
        <v/>
      </c>
      <c r="G123" s="2" t="str">
        <f>IF(Débito!A123="","",Débito!F123)</f>
        <v/>
      </c>
      <c r="H123" s="2" t="str">
        <f>IF(Débito!A123="","",Débito!H123)</f>
        <v/>
      </c>
      <c r="I123" s="2" t="str">
        <f>IF(Débito!A123="","",Débito!G123)</f>
        <v/>
      </c>
    </row>
    <row r="124" spans="1:9" ht="16.5" customHeight="1">
      <c r="A124" s="2" t="str">
        <f>IF(Débito!A124="","","Débito")</f>
        <v/>
      </c>
      <c r="B124" s="4" t="str">
        <f>IF(Débito!A124="","",Débito!A124)</f>
        <v/>
      </c>
      <c r="C124" s="2" t="str">
        <f>IF(Débito!A124="","",Débito!B124)</f>
        <v/>
      </c>
      <c r="D124" s="2" t="str">
        <f>IF(Débito!A124="","",Débito!C124)</f>
        <v/>
      </c>
      <c r="E124" s="2" t="str">
        <f>IF(Débito!A124="","",Débito!D124)</f>
        <v/>
      </c>
      <c r="F124" s="5" t="str">
        <f>IF(Débito!A124="","",Débito!E124)</f>
        <v/>
      </c>
      <c r="G124" s="2" t="str">
        <f>IF(Débito!A124="","",Débito!F124)</f>
        <v/>
      </c>
      <c r="H124" s="2" t="str">
        <f>IF(Débito!A124="","",Débito!H124)</f>
        <v/>
      </c>
      <c r="I124" s="2" t="str">
        <f>IF(Débito!A124="","",Débito!G124)</f>
        <v/>
      </c>
    </row>
    <row r="125" spans="1:9" ht="16.5" customHeight="1">
      <c r="A125" s="2" t="str">
        <f>IF(Débito!A125="","","Débito")</f>
        <v/>
      </c>
      <c r="B125" s="4" t="str">
        <f>IF(Débito!A125="","",Débito!A125)</f>
        <v/>
      </c>
      <c r="C125" s="2" t="str">
        <f>IF(Débito!A125="","",Débito!B125)</f>
        <v/>
      </c>
      <c r="D125" s="2" t="str">
        <f>IF(Débito!A125="","",Débito!C125)</f>
        <v/>
      </c>
      <c r="E125" s="2" t="str">
        <f>IF(Débito!A125="","",Débito!D125)</f>
        <v/>
      </c>
      <c r="F125" s="5" t="str">
        <f>IF(Débito!A125="","",Débito!E125)</f>
        <v/>
      </c>
      <c r="G125" s="2" t="str">
        <f>IF(Débito!A125="","",Débito!F125)</f>
        <v/>
      </c>
      <c r="H125" s="2" t="str">
        <f>IF(Débito!A125="","",Débito!H125)</f>
        <v/>
      </c>
      <c r="I125" s="2" t="str">
        <f>IF(Débito!A125="","",Débito!G125)</f>
        <v/>
      </c>
    </row>
    <row r="126" spans="1:9" ht="16.5" customHeight="1">
      <c r="A126" s="2" t="str">
        <f>IF(Débito!A126="","","Débito")</f>
        <v/>
      </c>
      <c r="B126" s="4" t="str">
        <f>IF(Débito!A126="","",Débito!A126)</f>
        <v/>
      </c>
      <c r="C126" s="2" t="str">
        <f>IF(Débito!A126="","",Débito!B126)</f>
        <v/>
      </c>
      <c r="D126" s="2" t="str">
        <f>IF(Débito!A126="","",Débito!C126)</f>
        <v/>
      </c>
      <c r="E126" s="2" t="str">
        <f>IF(Débito!A126="","",Débito!D126)</f>
        <v/>
      </c>
      <c r="F126" s="5" t="str">
        <f>IF(Débito!A126="","",Débito!E126)</f>
        <v/>
      </c>
      <c r="G126" s="2" t="str">
        <f>IF(Débito!A126="","",Débito!F126)</f>
        <v/>
      </c>
      <c r="H126" s="2" t="str">
        <f>IF(Débito!A126="","",Débito!H126)</f>
        <v/>
      </c>
      <c r="I126" s="2" t="str">
        <f>IF(Débito!A126="","",Débito!G126)</f>
        <v/>
      </c>
    </row>
    <row r="127" spans="1:9" ht="16.5" customHeight="1">
      <c r="A127" s="2" t="str">
        <f>IF(Débito!A127="","","Débito")</f>
        <v/>
      </c>
      <c r="B127" s="4" t="str">
        <f>IF(Débito!A127="","",Débito!A127)</f>
        <v/>
      </c>
      <c r="C127" s="2" t="str">
        <f>IF(Débito!A127="","",Débito!B127)</f>
        <v/>
      </c>
      <c r="D127" s="2" t="str">
        <f>IF(Débito!A127="","",Débito!C127)</f>
        <v/>
      </c>
      <c r="E127" s="2" t="str">
        <f>IF(Débito!A127="","",Débito!D127)</f>
        <v/>
      </c>
      <c r="F127" s="5" t="str">
        <f>IF(Débito!A127="","",Débito!E127)</f>
        <v/>
      </c>
      <c r="G127" s="2" t="str">
        <f>IF(Débito!A127="","",Débito!F127)</f>
        <v/>
      </c>
      <c r="H127" s="2" t="str">
        <f>IF(Débito!A127="","",Débito!H127)</f>
        <v/>
      </c>
      <c r="I127" s="2" t="str">
        <f>IF(Débito!A127="","",Débito!G127)</f>
        <v/>
      </c>
    </row>
    <row r="128" spans="1:9" ht="16.5" customHeight="1">
      <c r="A128" s="2" t="str">
        <f>IF(Débito!A128="","","Débito")</f>
        <v/>
      </c>
      <c r="B128" s="4" t="str">
        <f>IF(Débito!A128="","",Débito!A128)</f>
        <v/>
      </c>
      <c r="C128" s="2" t="str">
        <f>IF(Débito!A128="","",Débito!B128)</f>
        <v/>
      </c>
      <c r="D128" s="2" t="str">
        <f>IF(Débito!A128="","",Débito!C128)</f>
        <v/>
      </c>
      <c r="E128" s="2" t="str">
        <f>IF(Débito!A128="","",Débito!D128)</f>
        <v/>
      </c>
      <c r="F128" s="5" t="str">
        <f>IF(Débito!A128="","",Débito!E128)</f>
        <v/>
      </c>
      <c r="G128" s="2" t="str">
        <f>IF(Débito!A128="","",Débito!F128)</f>
        <v/>
      </c>
      <c r="H128" s="2" t="str">
        <f>IF(Débito!A128="","",Débito!H128)</f>
        <v/>
      </c>
      <c r="I128" s="2" t="str">
        <f>IF(Débito!A128="","",Débito!G128)</f>
        <v/>
      </c>
    </row>
    <row r="129" spans="1:9" ht="16.5" customHeight="1">
      <c r="A129" s="2" t="str">
        <f>IF(Débito!A129="","","Débito")</f>
        <v/>
      </c>
      <c r="B129" s="4" t="str">
        <f>IF(Débito!A129="","",Débito!A129)</f>
        <v/>
      </c>
      <c r="C129" s="2" t="str">
        <f>IF(Débito!A129="","",Débito!B129)</f>
        <v/>
      </c>
      <c r="D129" s="2" t="str">
        <f>IF(Débito!A129="","",Débito!C129)</f>
        <v/>
      </c>
      <c r="E129" s="2" t="str">
        <f>IF(Débito!A129="","",Débito!D129)</f>
        <v/>
      </c>
      <c r="F129" s="5" t="str">
        <f>IF(Débito!A129="","",Débito!E129)</f>
        <v/>
      </c>
      <c r="G129" s="2" t="str">
        <f>IF(Débito!A129="","",Débito!F129)</f>
        <v/>
      </c>
      <c r="H129" s="2" t="str">
        <f>IF(Débito!A129="","",Débito!H129)</f>
        <v/>
      </c>
      <c r="I129" s="2" t="str">
        <f>IF(Débito!A129="","",Débito!G129)</f>
        <v/>
      </c>
    </row>
    <row r="130" spans="1:9" ht="16.5" customHeight="1">
      <c r="A130" s="2" t="str">
        <f>IF(Débito!A130="","","Débito")</f>
        <v/>
      </c>
      <c r="B130" s="4" t="str">
        <f>IF(Débito!A130="","",Débito!A130)</f>
        <v/>
      </c>
      <c r="C130" s="2" t="str">
        <f>IF(Débito!A130="","",Débito!B130)</f>
        <v/>
      </c>
      <c r="D130" s="2" t="str">
        <f>IF(Débito!A130="","",Débito!C130)</f>
        <v/>
      </c>
      <c r="E130" s="2" t="str">
        <f>IF(Débito!A130="","",Débito!D130)</f>
        <v/>
      </c>
      <c r="F130" s="5" t="str">
        <f>IF(Débito!A130="","",Débito!E130)</f>
        <v/>
      </c>
      <c r="G130" s="2" t="str">
        <f>IF(Débito!A130="","",Débito!F130)</f>
        <v/>
      </c>
      <c r="H130" s="2" t="str">
        <f>IF(Débito!A130="","",Débito!H130)</f>
        <v/>
      </c>
      <c r="I130" s="2" t="str">
        <f>IF(Débito!A130="","",Débito!G130)</f>
        <v/>
      </c>
    </row>
    <row r="131" spans="1:9" ht="16.5" customHeight="1">
      <c r="A131" s="2" t="str">
        <f>IF(Débito!A131="","","Débito")</f>
        <v/>
      </c>
      <c r="B131" s="4" t="str">
        <f>IF(Débito!A131="","",Débito!A131)</f>
        <v/>
      </c>
      <c r="C131" s="2" t="str">
        <f>IF(Débito!A131="","",Débito!B131)</f>
        <v/>
      </c>
      <c r="D131" s="2" t="str">
        <f>IF(Débito!A131="","",Débito!C131)</f>
        <v/>
      </c>
      <c r="E131" s="2" t="str">
        <f>IF(Débito!A131="","",Débito!D131)</f>
        <v/>
      </c>
      <c r="F131" s="5" t="str">
        <f>IF(Débito!A131="","",Débito!E131)</f>
        <v/>
      </c>
      <c r="G131" s="2" t="str">
        <f>IF(Débito!A131="","",Débito!F131)</f>
        <v/>
      </c>
      <c r="H131" s="2" t="str">
        <f>IF(Débito!A131="","",Débito!H131)</f>
        <v/>
      </c>
      <c r="I131" s="2" t="str">
        <f>IF(Débito!A131="","",Débito!G131)</f>
        <v/>
      </c>
    </row>
    <row r="132" spans="1:9" ht="16.5" customHeight="1">
      <c r="A132" s="2" t="str">
        <f>IF(Débito!A132="","","Débito")</f>
        <v/>
      </c>
      <c r="B132" s="4" t="str">
        <f>IF(Débito!A132="","",Débito!A132)</f>
        <v/>
      </c>
      <c r="C132" s="2" t="str">
        <f>IF(Débito!A132="","",Débito!B132)</f>
        <v/>
      </c>
      <c r="D132" s="2" t="str">
        <f>IF(Débito!A132="","",Débito!C132)</f>
        <v/>
      </c>
      <c r="E132" s="2" t="str">
        <f>IF(Débito!A132="","",Débito!D132)</f>
        <v/>
      </c>
      <c r="F132" s="5" t="str">
        <f>IF(Débito!A132="","",Débito!E132)</f>
        <v/>
      </c>
      <c r="G132" s="2" t="str">
        <f>IF(Débito!A132="","",Débito!F132)</f>
        <v/>
      </c>
      <c r="H132" s="2" t="str">
        <f>IF(Débito!A132="","",Débito!H132)</f>
        <v/>
      </c>
      <c r="I132" s="2" t="str">
        <f>IF(Débito!A132="","",Débito!G132)</f>
        <v/>
      </c>
    </row>
    <row r="133" spans="1:9" ht="16.5" customHeight="1">
      <c r="A133" s="2" t="str">
        <f>IF(Débito!A133="","","Débito")</f>
        <v/>
      </c>
      <c r="B133" s="4" t="str">
        <f>IF(Débito!A133="","",Débito!A133)</f>
        <v/>
      </c>
      <c r="C133" s="2" t="str">
        <f>IF(Débito!A133="","",Débito!B133)</f>
        <v/>
      </c>
      <c r="D133" s="2" t="str">
        <f>IF(Débito!A133="","",Débito!C133)</f>
        <v/>
      </c>
      <c r="E133" s="2" t="str">
        <f>IF(Débito!A133="","",Débito!D133)</f>
        <v/>
      </c>
      <c r="F133" s="5" t="str">
        <f>IF(Débito!A133="","",Débito!E133)</f>
        <v/>
      </c>
      <c r="G133" s="2" t="str">
        <f>IF(Débito!A133="","",Débito!F133)</f>
        <v/>
      </c>
      <c r="H133" s="2" t="str">
        <f>IF(Débito!A133="","",Débito!H133)</f>
        <v/>
      </c>
      <c r="I133" s="2" t="str">
        <f>IF(Débito!A133="","",Débito!G133)</f>
        <v/>
      </c>
    </row>
    <row r="134" spans="1:9" ht="16.5" customHeight="1">
      <c r="A134" s="2" t="str">
        <f>IF(Débito!A134="","","Débito")</f>
        <v/>
      </c>
      <c r="B134" s="4" t="str">
        <f>IF(Débito!A134="","",Débito!A134)</f>
        <v/>
      </c>
      <c r="C134" s="2" t="str">
        <f>IF(Débito!A134="","",Débito!B134)</f>
        <v/>
      </c>
      <c r="D134" s="2" t="str">
        <f>IF(Débito!A134="","",Débito!C134)</f>
        <v/>
      </c>
      <c r="E134" s="2" t="str">
        <f>IF(Débito!A134="","",Débito!D134)</f>
        <v/>
      </c>
      <c r="F134" s="5" t="str">
        <f>IF(Débito!A134="","",Débito!E134)</f>
        <v/>
      </c>
      <c r="G134" s="2" t="str">
        <f>IF(Débito!A134="","",Débito!F134)</f>
        <v/>
      </c>
      <c r="H134" s="2" t="str">
        <f>IF(Débito!A134="","",Débito!H134)</f>
        <v/>
      </c>
      <c r="I134" s="2" t="str">
        <f>IF(Débito!A134="","",Débito!G134)</f>
        <v/>
      </c>
    </row>
    <row r="135" spans="1:9" ht="16.5" customHeight="1">
      <c r="A135" s="2" t="str">
        <f>IF(Débito!A135="","","Débito")</f>
        <v/>
      </c>
      <c r="B135" s="4" t="str">
        <f>IF(Débito!A135="","",Débito!A135)</f>
        <v/>
      </c>
      <c r="C135" s="2" t="str">
        <f>IF(Débito!A135="","",Débito!B135)</f>
        <v/>
      </c>
      <c r="D135" s="2" t="str">
        <f>IF(Débito!A135="","",Débito!C135)</f>
        <v/>
      </c>
      <c r="E135" s="2" t="str">
        <f>IF(Débito!A135="","",Débito!D135)</f>
        <v/>
      </c>
      <c r="F135" s="5" t="str">
        <f>IF(Débito!A135="","",Débito!E135)</f>
        <v/>
      </c>
      <c r="G135" s="2" t="str">
        <f>IF(Débito!A135="","",Débito!F135)</f>
        <v/>
      </c>
      <c r="H135" s="2" t="str">
        <f>IF(Débito!A135="","",Débito!H135)</f>
        <v/>
      </c>
      <c r="I135" s="2" t="str">
        <f>IF(Débito!A135="","",Débito!G135)</f>
        <v/>
      </c>
    </row>
    <row r="136" spans="1:9" ht="16.5" customHeight="1">
      <c r="A136" s="2" t="str">
        <f>IF(Débito!A136="","","Débito")</f>
        <v/>
      </c>
      <c r="B136" s="4" t="str">
        <f>IF(Débito!A136="","",Débito!A136)</f>
        <v/>
      </c>
      <c r="C136" s="2" t="str">
        <f>IF(Débito!A136="","",Débito!B136)</f>
        <v/>
      </c>
      <c r="D136" s="2" t="str">
        <f>IF(Débito!A136="","",Débito!C136)</f>
        <v/>
      </c>
      <c r="E136" s="2" t="str">
        <f>IF(Débito!A136="","",Débito!D136)</f>
        <v/>
      </c>
      <c r="F136" s="5" t="str">
        <f>IF(Débito!A136="","",Débito!E136)</f>
        <v/>
      </c>
      <c r="G136" s="2" t="str">
        <f>IF(Débito!A136="","",Débito!F136)</f>
        <v/>
      </c>
      <c r="H136" s="2" t="str">
        <f>IF(Débito!A136="","",Débito!H136)</f>
        <v/>
      </c>
      <c r="I136" s="2" t="str">
        <f>IF(Débito!A136="","",Débito!G136)</f>
        <v/>
      </c>
    </row>
    <row r="137" spans="1:9" ht="16.5" customHeight="1">
      <c r="A137" s="2" t="str">
        <f>IF(Débito!A137="","","Débito")</f>
        <v/>
      </c>
      <c r="B137" s="4" t="str">
        <f>IF(Débito!A137="","",Débito!A137)</f>
        <v/>
      </c>
      <c r="C137" s="2" t="str">
        <f>IF(Débito!A137="","",Débito!B137)</f>
        <v/>
      </c>
      <c r="D137" s="2" t="str">
        <f>IF(Débito!A137="","",Débito!C137)</f>
        <v/>
      </c>
      <c r="E137" s="2" t="str">
        <f>IF(Débito!A137="","",Débito!D137)</f>
        <v/>
      </c>
      <c r="F137" s="5" t="str">
        <f>IF(Débito!A137="","",Débito!E137)</f>
        <v/>
      </c>
      <c r="G137" s="2" t="str">
        <f>IF(Débito!A137="","",Débito!F137)</f>
        <v/>
      </c>
      <c r="H137" s="2" t="str">
        <f>IF(Débito!A137="","",Débito!H137)</f>
        <v/>
      </c>
      <c r="I137" s="2" t="str">
        <f>IF(Débito!A137="","",Débito!G137)</f>
        <v/>
      </c>
    </row>
    <row r="138" spans="1:9" ht="16.5" customHeight="1">
      <c r="A138" s="2" t="str">
        <f>IF(Débito!A138="","","Débito")</f>
        <v/>
      </c>
      <c r="B138" s="4" t="str">
        <f>IF(Débito!A138="","",Débito!A138)</f>
        <v/>
      </c>
      <c r="C138" s="2" t="str">
        <f>IF(Débito!A138="","",Débito!B138)</f>
        <v/>
      </c>
      <c r="D138" s="2" t="str">
        <f>IF(Débito!A138="","",Débito!C138)</f>
        <v/>
      </c>
      <c r="E138" s="2" t="str">
        <f>IF(Débito!A138="","",Débito!D138)</f>
        <v/>
      </c>
      <c r="F138" s="5" t="str">
        <f>IF(Débito!A138="","",Débito!E138)</f>
        <v/>
      </c>
      <c r="G138" s="2" t="str">
        <f>IF(Débito!A138="","",Débito!F138)</f>
        <v/>
      </c>
      <c r="H138" s="2" t="str">
        <f>IF(Débito!A138="","",Débito!H138)</f>
        <v/>
      </c>
      <c r="I138" s="2" t="str">
        <f>IF(Débito!A138="","",Débito!G138)</f>
        <v/>
      </c>
    </row>
    <row r="139" spans="1:9" ht="16.5" customHeight="1">
      <c r="A139" s="2" t="str">
        <f>IF(Débito!A139="","","Débito")</f>
        <v/>
      </c>
      <c r="B139" s="4" t="str">
        <f>IF(Débito!A139="","",Débito!A139)</f>
        <v/>
      </c>
      <c r="C139" s="2" t="str">
        <f>IF(Débito!A139="","",Débito!B139)</f>
        <v/>
      </c>
      <c r="D139" s="2" t="str">
        <f>IF(Débito!A139="","",Débito!C139)</f>
        <v/>
      </c>
      <c r="E139" s="2" t="str">
        <f>IF(Débito!A139="","",Débito!D139)</f>
        <v/>
      </c>
      <c r="F139" s="5" t="str">
        <f>IF(Débito!A139="","",Débito!E139)</f>
        <v/>
      </c>
      <c r="G139" s="2" t="str">
        <f>IF(Débito!A139="","",Débito!F139)</f>
        <v/>
      </c>
      <c r="H139" s="2" t="str">
        <f>IF(Débito!A139="","",Débito!H139)</f>
        <v/>
      </c>
      <c r="I139" s="2" t="str">
        <f>IF(Débito!A139="","",Débito!G139)</f>
        <v/>
      </c>
    </row>
    <row r="140" spans="1:9" ht="16.5" customHeight="1">
      <c r="A140" s="2" t="str">
        <f>IF(Débito!A140="","","Débito")</f>
        <v/>
      </c>
      <c r="B140" s="4" t="str">
        <f>IF(Débito!A140="","",Débito!A140)</f>
        <v/>
      </c>
      <c r="C140" s="2" t="str">
        <f>IF(Débito!A140="","",Débito!B140)</f>
        <v/>
      </c>
      <c r="D140" s="2" t="str">
        <f>IF(Débito!A140="","",Débito!C140)</f>
        <v/>
      </c>
      <c r="E140" s="2" t="str">
        <f>IF(Débito!A140="","",Débito!D140)</f>
        <v/>
      </c>
      <c r="F140" s="5" t="str">
        <f>IF(Débito!A140="","",Débito!E140)</f>
        <v/>
      </c>
      <c r="G140" s="2" t="str">
        <f>IF(Débito!A140="","",Débito!F140)</f>
        <v/>
      </c>
      <c r="H140" s="2" t="str">
        <f>IF(Débito!A140="","",Débito!H140)</f>
        <v/>
      </c>
      <c r="I140" s="2" t="str">
        <f>IF(Débito!A140="","",Débito!G140)</f>
        <v/>
      </c>
    </row>
    <row r="141" spans="1:9" ht="16.5" customHeight="1">
      <c r="A141" s="2" t="str">
        <f>IF(Débito!A141="","","Débito")</f>
        <v/>
      </c>
      <c r="B141" s="4" t="str">
        <f>IF(Débito!A141="","",Débito!A141)</f>
        <v/>
      </c>
      <c r="C141" s="2" t="str">
        <f>IF(Débito!A141="","",Débito!B141)</f>
        <v/>
      </c>
      <c r="D141" s="2" t="str">
        <f>IF(Débito!A141="","",Débito!C141)</f>
        <v/>
      </c>
      <c r="E141" s="2" t="str">
        <f>IF(Débito!A141="","",Débito!D141)</f>
        <v/>
      </c>
      <c r="F141" s="5" t="str">
        <f>IF(Débito!A141="","",Débito!E141)</f>
        <v/>
      </c>
      <c r="G141" s="2" t="str">
        <f>IF(Débito!A141="","",Débito!F141)</f>
        <v/>
      </c>
      <c r="H141" s="2" t="str">
        <f>IF(Débito!A141="","",Débito!H141)</f>
        <v/>
      </c>
      <c r="I141" s="2" t="str">
        <f>IF(Débito!A141="","",Débito!G141)</f>
        <v/>
      </c>
    </row>
    <row r="142" spans="1:9" ht="16.5" customHeight="1">
      <c r="A142" s="2" t="str">
        <f>IF(Débito!A142="","","Débito")</f>
        <v/>
      </c>
      <c r="B142" s="4" t="str">
        <f>IF(Débito!A142="","",Débito!A142)</f>
        <v/>
      </c>
      <c r="C142" s="2" t="str">
        <f>IF(Débito!A142="","",Débito!B142)</f>
        <v/>
      </c>
      <c r="D142" s="2" t="str">
        <f>IF(Débito!A142="","",Débito!C142)</f>
        <v/>
      </c>
      <c r="E142" s="2" t="str">
        <f>IF(Débito!A142="","",Débito!D142)</f>
        <v/>
      </c>
      <c r="F142" s="5" t="str">
        <f>IF(Débito!A142="","",Débito!E142)</f>
        <v/>
      </c>
      <c r="G142" s="2" t="str">
        <f>IF(Débito!A142="","",Débito!F142)</f>
        <v/>
      </c>
      <c r="H142" s="2" t="str">
        <f>IF(Débito!A142="","",Débito!H142)</f>
        <v/>
      </c>
      <c r="I142" s="2" t="str">
        <f>IF(Débito!A142="","",Débito!G142)</f>
        <v/>
      </c>
    </row>
    <row r="143" spans="1:9" ht="16.5" customHeight="1">
      <c r="A143" s="2" t="str">
        <f>IF(Débito!A143="","","Débito")</f>
        <v/>
      </c>
      <c r="B143" s="4" t="str">
        <f>IF(Débito!A143="","",Débito!A143)</f>
        <v/>
      </c>
      <c r="C143" s="2" t="str">
        <f>IF(Débito!A143="","",Débito!B143)</f>
        <v/>
      </c>
      <c r="D143" s="2" t="str">
        <f>IF(Débito!A143="","",Débito!C143)</f>
        <v/>
      </c>
      <c r="E143" s="2" t="str">
        <f>IF(Débito!A143="","",Débito!D143)</f>
        <v/>
      </c>
      <c r="F143" s="5" t="str">
        <f>IF(Débito!A143="","",Débito!E143)</f>
        <v/>
      </c>
      <c r="G143" s="2" t="str">
        <f>IF(Débito!A143="","",Débito!F143)</f>
        <v/>
      </c>
      <c r="H143" s="2" t="str">
        <f>IF(Débito!A143="","",Débito!H143)</f>
        <v/>
      </c>
      <c r="I143" s="2" t="str">
        <f>IF(Débito!A143="","",Débito!G143)</f>
        <v/>
      </c>
    </row>
    <row r="144" spans="1:9" ht="16.5" customHeight="1">
      <c r="A144" s="2" t="str">
        <f>IF(Débito!A144="","","Débito")</f>
        <v/>
      </c>
      <c r="B144" s="4" t="str">
        <f>IF(Débito!A144="","",Débito!A144)</f>
        <v/>
      </c>
      <c r="C144" s="2" t="str">
        <f>IF(Débito!A144="","",Débito!B144)</f>
        <v/>
      </c>
      <c r="D144" s="2" t="str">
        <f>IF(Débito!A144="","",Débito!C144)</f>
        <v/>
      </c>
      <c r="E144" s="2" t="str">
        <f>IF(Débito!A144="","",Débito!D144)</f>
        <v/>
      </c>
      <c r="F144" s="5" t="str">
        <f>IF(Débito!A144="","",Débito!E144)</f>
        <v/>
      </c>
      <c r="G144" s="2" t="str">
        <f>IF(Débito!A144="","",Débito!F144)</f>
        <v/>
      </c>
      <c r="H144" s="2" t="str">
        <f>IF(Débito!A144="","",Débito!H144)</f>
        <v/>
      </c>
      <c r="I144" s="2" t="str">
        <f>IF(Débito!A144="","",Débito!G144)</f>
        <v/>
      </c>
    </row>
    <row r="145" spans="1:9" ht="16.5" customHeight="1">
      <c r="A145" s="2" t="str">
        <f>IF(Débito!A145="","","Débito")</f>
        <v/>
      </c>
      <c r="B145" s="4" t="str">
        <f>IF(Débito!A145="","",Débito!A145)</f>
        <v/>
      </c>
      <c r="C145" s="2" t="str">
        <f>IF(Débito!A145="","",Débito!B145)</f>
        <v/>
      </c>
      <c r="D145" s="2" t="str">
        <f>IF(Débito!A145="","",Débito!C145)</f>
        <v/>
      </c>
      <c r="E145" s="2" t="str">
        <f>IF(Débito!A145="","",Débito!D145)</f>
        <v/>
      </c>
      <c r="F145" s="5" t="str">
        <f>IF(Débito!A145="","",Débito!E145)</f>
        <v/>
      </c>
      <c r="G145" s="2" t="str">
        <f>IF(Débito!A145="","",Débito!F145)</f>
        <v/>
      </c>
      <c r="H145" s="2" t="str">
        <f>IF(Débito!A145="","",Débito!H145)</f>
        <v/>
      </c>
      <c r="I145" s="2" t="str">
        <f>IF(Débito!A145="","",Débito!G145)</f>
        <v/>
      </c>
    </row>
    <row r="146" spans="1:9" ht="16.5" customHeight="1">
      <c r="A146" s="2" t="str">
        <f>IF(Débito!A146="","","Débito")</f>
        <v/>
      </c>
      <c r="B146" s="4" t="str">
        <f>IF(Débito!A146="","",Débito!A146)</f>
        <v/>
      </c>
      <c r="C146" s="2" t="str">
        <f>IF(Débito!A146="","",Débito!B146)</f>
        <v/>
      </c>
      <c r="D146" s="2" t="str">
        <f>IF(Débito!A146="","",Débito!C146)</f>
        <v/>
      </c>
      <c r="E146" s="2" t="str">
        <f>IF(Débito!A146="","",Débito!D146)</f>
        <v/>
      </c>
      <c r="F146" s="5" t="str">
        <f>IF(Débito!A146="","",Débito!E146)</f>
        <v/>
      </c>
      <c r="G146" s="2" t="str">
        <f>IF(Débito!A146="","",Débito!F146)</f>
        <v/>
      </c>
      <c r="H146" s="2" t="str">
        <f>IF(Débito!A146="","",Débito!H146)</f>
        <v/>
      </c>
      <c r="I146" s="2" t="str">
        <f>IF(Débito!A146="","",Débito!G146)</f>
        <v/>
      </c>
    </row>
    <row r="147" spans="1:9" ht="16.5" customHeight="1">
      <c r="A147" s="2" t="str">
        <f>IF(Débito!A147="","","Débito")</f>
        <v/>
      </c>
      <c r="B147" s="4" t="str">
        <f>IF(Débito!A147="","",Débito!A147)</f>
        <v/>
      </c>
      <c r="C147" s="2" t="str">
        <f>IF(Débito!A147="","",Débito!B147)</f>
        <v/>
      </c>
      <c r="D147" s="2" t="str">
        <f>IF(Débito!A147="","",Débito!C147)</f>
        <v/>
      </c>
      <c r="E147" s="2" t="str">
        <f>IF(Débito!A147="","",Débito!D147)</f>
        <v/>
      </c>
      <c r="F147" s="5" t="str">
        <f>IF(Débito!A147="","",Débito!E147)</f>
        <v/>
      </c>
      <c r="G147" s="2" t="str">
        <f>IF(Débito!A147="","",Débito!F147)</f>
        <v/>
      </c>
      <c r="H147" s="2" t="str">
        <f>IF(Débito!A147="","",Débito!H147)</f>
        <v/>
      </c>
      <c r="I147" s="2" t="str">
        <f>IF(Débito!A147="","",Débito!G147)</f>
        <v/>
      </c>
    </row>
    <row r="148" spans="1:9" ht="16.5" customHeight="1">
      <c r="A148" s="2" t="str">
        <f>IF(Débito!A148="","","Débito")</f>
        <v/>
      </c>
      <c r="B148" s="4" t="str">
        <f>IF(Débito!A148="","",Débito!A148)</f>
        <v/>
      </c>
      <c r="C148" s="2" t="str">
        <f>IF(Débito!A148="","",Débito!B148)</f>
        <v/>
      </c>
      <c r="D148" s="2" t="str">
        <f>IF(Débito!A148="","",Débito!C148)</f>
        <v/>
      </c>
      <c r="E148" s="2" t="str">
        <f>IF(Débito!A148="","",Débito!D148)</f>
        <v/>
      </c>
      <c r="F148" s="5" t="str">
        <f>IF(Débito!A148="","",Débito!E148)</f>
        <v/>
      </c>
      <c r="G148" s="2" t="str">
        <f>IF(Débito!A148="","",Débito!F148)</f>
        <v/>
      </c>
      <c r="H148" s="2" t="str">
        <f>IF(Débito!A148="","",Débito!H148)</f>
        <v/>
      </c>
      <c r="I148" s="2" t="str">
        <f>IF(Débito!A148="","",Débito!G148)</f>
        <v/>
      </c>
    </row>
    <row r="149" spans="1:9" ht="16.5" customHeight="1">
      <c r="A149" s="2" t="str">
        <f>IF(Débito!A149="","","Débito")</f>
        <v/>
      </c>
      <c r="B149" s="4" t="str">
        <f>IF(Débito!A149="","",Débito!A149)</f>
        <v/>
      </c>
      <c r="C149" s="2" t="str">
        <f>IF(Débito!A149="","",Débito!B149)</f>
        <v/>
      </c>
      <c r="D149" s="2" t="str">
        <f>IF(Débito!A149="","",Débito!C149)</f>
        <v/>
      </c>
      <c r="E149" s="2" t="str">
        <f>IF(Débito!A149="","",Débito!D149)</f>
        <v/>
      </c>
      <c r="F149" s="5" t="str">
        <f>IF(Débito!A149="","",Débito!E149)</f>
        <v/>
      </c>
      <c r="G149" s="2" t="str">
        <f>IF(Débito!A149="","",Débito!F149)</f>
        <v/>
      </c>
      <c r="H149" s="2" t="str">
        <f>IF(Débito!A149="","",Débito!H149)</f>
        <v/>
      </c>
      <c r="I149" s="2" t="str">
        <f>IF(Débito!A149="","",Débito!G149)</f>
        <v/>
      </c>
    </row>
    <row r="150" spans="1:9" ht="16.5" customHeight="1">
      <c r="A150" s="2" t="str">
        <f>IF(Débito!A150="","","Débito")</f>
        <v/>
      </c>
      <c r="B150" s="4" t="str">
        <f>IF(Débito!A150="","",Débito!A150)</f>
        <v/>
      </c>
      <c r="C150" s="2" t="str">
        <f>IF(Débito!A150="","",Débito!B150)</f>
        <v/>
      </c>
      <c r="D150" s="2" t="str">
        <f>IF(Débito!A150="","",Débito!C150)</f>
        <v/>
      </c>
      <c r="E150" s="2" t="str">
        <f>IF(Débito!A150="","",Débito!D150)</f>
        <v/>
      </c>
      <c r="F150" s="5" t="str">
        <f>IF(Débito!A150="","",Débito!E150)</f>
        <v/>
      </c>
      <c r="G150" s="2" t="str">
        <f>IF(Débito!A150="","",Débito!F150)</f>
        <v/>
      </c>
      <c r="H150" s="2" t="str">
        <f>IF(Débito!A150="","",Débito!H150)</f>
        <v/>
      </c>
      <c r="I150" s="2" t="str">
        <f>IF(Débito!A150="","",Débito!G150)</f>
        <v/>
      </c>
    </row>
    <row r="151" spans="1:9" ht="16.5" customHeight="1">
      <c r="A151" s="2" t="str">
        <f>IF(Débito!A151="","","Débito")</f>
        <v/>
      </c>
      <c r="B151" s="4" t="str">
        <f>IF(Débito!A151="","",Débito!A151)</f>
        <v/>
      </c>
      <c r="C151" s="2" t="str">
        <f>IF(Débito!A151="","",Débito!B151)</f>
        <v/>
      </c>
      <c r="D151" s="2" t="str">
        <f>IF(Débito!A151="","",Débito!C151)</f>
        <v/>
      </c>
      <c r="E151" s="2" t="str">
        <f>IF(Débito!A151="","",Débito!D151)</f>
        <v/>
      </c>
      <c r="F151" s="5" t="str">
        <f>IF(Débito!A151="","",Débito!E151)</f>
        <v/>
      </c>
      <c r="G151" s="2" t="str">
        <f>IF(Débito!A151="","",Débito!F151)</f>
        <v/>
      </c>
      <c r="H151" s="2" t="str">
        <f>IF(Débito!A151="","",Débito!H151)</f>
        <v/>
      </c>
      <c r="I151" s="2" t="str">
        <f>IF(Débito!A151="","",Débito!G151)</f>
        <v/>
      </c>
    </row>
    <row r="152" spans="1:9" ht="16.5" customHeight="1">
      <c r="A152" s="2" t="str">
        <f>IF(Débito!A152="","","Débito")</f>
        <v/>
      </c>
      <c r="B152" s="4" t="str">
        <f>IF(Débito!A152="","",Débito!A152)</f>
        <v/>
      </c>
      <c r="C152" s="2" t="str">
        <f>IF(Débito!A152="","",Débito!B152)</f>
        <v/>
      </c>
      <c r="D152" s="2" t="str">
        <f>IF(Débito!A152="","",Débito!C152)</f>
        <v/>
      </c>
      <c r="E152" s="2" t="str">
        <f>IF(Débito!A152="","",Débito!D152)</f>
        <v/>
      </c>
      <c r="F152" s="5" t="str">
        <f>IF(Débito!A152="","",Débito!E152)</f>
        <v/>
      </c>
      <c r="G152" s="2" t="str">
        <f>IF(Débito!A152="","",Débito!F152)</f>
        <v/>
      </c>
      <c r="H152" s="2" t="str">
        <f>IF(Débito!A152="","",Débito!H152)</f>
        <v/>
      </c>
      <c r="I152" s="2" t="str">
        <f>IF(Débito!A152="","",Débito!G152)</f>
        <v/>
      </c>
    </row>
    <row r="153" spans="1:9" ht="16.5" customHeight="1">
      <c r="A153" s="2" t="str">
        <f>IF(Débito!A153="","","Débito")</f>
        <v/>
      </c>
      <c r="B153" s="4" t="str">
        <f>IF(Débito!A153="","",Débito!A153)</f>
        <v/>
      </c>
      <c r="C153" s="2" t="str">
        <f>IF(Débito!A153="","",Débito!B153)</f>
        <v/>
      </c>
      <c r="D153" s="2" t="str">
        <f>IF(Débito!A153="","",Débito!C153)</f>
        <v/>
      </c>
      <c r="E153" s="2" t="str">
        <f>IF(Débito!A153="","",Débito!D153)</f>
        <v/>
      </c>
      <c r="F153" s="5" t="str">
        <f>IF(Débito!A153="","",Débito!E153)</f>
        <v/>
      </c>
      <c r="G153" s="2" t="str">
        <f>IF(Débito!A153="","",Débito!F153)</f>
        <v/>
      </c>
      <c r="H153" s="2" t="str">
        <f>IF(Débito!A153="","",Débito!H153)</f>
        <v/>
      </c>
      <c r="I153" s="2" t="str">
        <f>IF(Débito!A153="","",Débito!G153)</f>
        <v/>
      </c>
    </row>
    <row r="154" spans="1:9" ht="16.5" customHeight="1">
      <c r="A154" s="2" t="str">
        <f>IF(Débito!A154="","","Débito")</f>
        <v/>
      </c>
      <c r="B154" s="4" t="str">
        <f>IF(Débito!A154="","",Débito!A154)</f>
        <v/>
      </c>
      <c r="C154" s="2" t="str">
        <f>IF(Débito!A154="","",Débito!B154)</f>
        <v/>
      </c>
      <c r="D154" s="2" t="str">
        <f>IF(Débito!A154="","",Débito!C154)</f>
        <v/>
      </c>
      <c r="E154" s="2" t="str">
        <f>IF(Débito!A154="","",Débito!D154)</f>
        <v/>
      </c>
      <c r="F154" s="5" t="str">
        <f>IF(Débito!A154="","",Débito!E154)</f>
        <v/>
      </c>
      <c r="G154" s="2" t="str">
        <f>IF(Débito!A154="","",Débito!F154)</f>
        <v/>
      </c>
      <c r="H154" s="2" t="str">
        <f>IF(Débito!A154="","",Débito!H154)</f>
        <v/>
      </c>
      <c r="I154" s="2" t="str">
        <f>IF(Débito!A154="","",Débito!G154)</f>
        <v/>
      </c>
    </row>
    <row r="155" spans="1:9" ht="16.5" customHeight="1">
      <c r="A155" s="2" t="str">
        <f>IF(Débito!A155="","","Débito")</f>
        <v/>
      </c>
      <c r="B155" s="4" t="str">
        <f>IF(Débito!A155="","",Débito!A155)</f>
        <v/>
      </c>
      <c r="C155" s="2" t="str">
        <f>IF(Débito!A155="","",Débito!B155)</f>
        <v/>
      </c>
      <c r="D155" s="2" t="str">
        <f>IF(Débito!A155="","",Débito!C155)</f>
        <v/>
      </c>
      <c r="E155" s="2" t="str">
        <f>IF(Débito!A155="","",Débito!D155)</f>
        <v/>
      </c>
      <c r="F155" s="5" t="str">
        <f>IF(Débito!A155="","",Débito!E155)</f>
        <v/>
      </c>
      <c r="G155" s="2" t="str">
        <f>IF(Débito!A155="","",Débito!F155)</f>
        <v/>
      </c>
      <c r="H155" s="2" t="str">
        <f>IF(Débito!A155="","",Débito!H155)</f>
        <v/>
      </c>
      <c r="I155" s="2" t="str">
        <f>IF(Débito!A155="","",Débito!G155)</f>
        <v/>
      </c>
    </row>
    <row r="156" spans="1:9" ht="16.5" customHeight="1">
      <c r="A156" s="2" t="str">
        <f>IF(Débito!A156="","","Débito")</f>
        <v/>
      </c>
      <c r="B156" s="4" t="str">
        <f>IF(Débito!A156="","",Débito!A156)</f>
        <v/>
      </c>
      <c r="C156" s="2" t="str">
        <f>IF(Débito!A156="","",Débito!B156)</f>
        <v/>
      </c>
      <c r="D156" s="2" t="str">
        <f>IF(Débito!A156="","",Débito!C156)</f>
        <v/>
      </c>
      <c r="E156" s="2" t="str">
        <f>IF(Débito!A156="","",Débito!D156)</f>
        <v/>
      </c>
      <c r="F156" s="5" t="str">
        <f>IF(Débito!A156="","",Débito!E156)</f>
        <v/>
      </c>
      <c r="G156" s="2" t="str">
        <f>IF(Débito!A156="","",Débito!F156)</f>
        <v/>
      </c>
      <c r="H156" s="2" t="str">
        <f>IF(Débito!A156="","",Débito!H156)</f>
        <v/>
      </c>
      <c r="I156" s="2" t="str">
        <f>IF(Débito!A156="","",Débito!G156)</f>
        <v/>
      </c>
    </row>
    <row r="157" spans="1:9" ht="16.5" customHeight="1">
      <c r="A157" s="2" t="str">
        <f>IF(Débito!A157="","","Débito")</f>
        <v/>
      </c>
      <c r="B157" s="4" t="str">
        <f>IF(Débito!A157="","",Débito!A157)</f>
        <v/>
      </c>
      <c r="C157" s="2" t="str">
        <f>IF(Débito!A157="","",Débito!B157)</f>
        <v/>
      </c>
      <c r="D157" s="2" t="str">
        <f>IF(Débito!A157="","",Débito!C157)</f>
        <v/>
      </c>
      <c r="E157" s="2" t="str">
        <f>IF(Débito!A157="","",Débito!D157)</f>
        <v/>
      </c>
      <c r="F157" s="5" t="str">
        <f>IF(Débito!A157="","",Débito!E157)</f>
        <v/>
      </c>
      <c r="G157" s="2" t="str">
        <f>IF(Débito!A157="","",Débito!F157)</f>
        <v/>
      </c>
      <c r="H157" s="2" t="str">
        <f>IF(Débito!A157="","",Débito!H157)</f>
        <v/>
      </c>
      <c r="I157" s="2" t="str">
        <f>IF(Débito!A157="","",Débito!G157)</f>
        <v/>
      </c>
    </row>
    <row r="158" spans="1:9" ht="16.5" customHeight="1">
      <c r="A158" s="2" t="str">
        <f>IF(Débito!A158="","","Débito")</f>
        <v/>
      </c>
      <c r="B158" s="4" t="str">
        <f>IF(Débito!A158="","",Débito!A158)</f>
        <v/>
      </c>
      <c r="C158" s="2" t="str">
        <f>IF(Débito!A158="","",Débito!B158)</f>
        <v/>
      </c>
      <c r="D158" s="2" t="str">
        <f>IF(Débito!A158="","",Débito!C158)</f>
        <v/>
      </c>
      <c r="E158" s="2" t="str">
        <f>IF(Débito!A158="","",Débito!D158)</f>
        <v/>
      </c>
      <c r="F158" s="5" t="str">
        <f>IF(Débito!A158="","",Débito!E158)</f>
        <v/>
      </c>
      <c r="G158" s="2" t="str">
        <f>IF(Débito!A158="","",Débito!F158)</f>
        <v/>
      </c>
      <c r="H158" s="2" t="str">
        <f>IF(Débito!A158="","",Débito!H158)</f>
        <v/>
      </c>
      <c r="I158" s="2" t="str">
        <f>IF(Débito!A158="","",Débito!G158)</f>
        <v/>
      </c>
    </row>
    <row r="159" spans="1:9" ht="16.5" customHeight="1">
      <c r="A159" s="2" t="str">
        <f>IF(Débito!A159="","","Débito")</f>
        <v/>
      </c>
      <c r="B159" s="4" t="str">
        <f>IF(Débito!A159="","",Débito!A159)</f>
        <v/>
      </c>
      <c r="C159" s="2" t="str">
        <f>IF(Débito!A159="","",Débito!B159)</f>
        <v/>
      </c>
      <c r="D159" s="2" t="str">
        <f>IF(Débito!A159="","",Débito!C159)</f>
        <v/>
      </c>
      <c r="E159" s="2" t="str">
        <f>IF(Débito!A159="","",Débito!D159)</f>
        <v/>
      </c>
      <c r="F159" s="5" t="str">
        <f>IF(Débito!A159="","",Débito!E159)</f>
        <v/>
      </c>
      <c r="G159" s="2" t="str">
        <f>IF(Débito!A159="","",Débito!F159)</f>
        <v/>
      </c>
      <c r="H159" s="2" t="str">
        <f>IF(Débito!A159="","",Débito!H159)</f>
        <v/>
      </c>
      <c r="I159" s="2" t="str">
        <f>IF(Débito!A159="","",Débito!G159)</f>
        <v/>
      </c>
    </row>
    <row r="160" spans="1:9" ht="16.5" customHeight="1">
      <c r="A160" s="2" t="str">
        <f>IF(Débito!A160="","","Débito")</f>
        <v/>
      </c>
      <c r="B160" s="4" t="str">
        <f>IF(Débito!A160="","",Débito!A160)</f>
        <v/>
      </c>
      <c r="C160" s="2" t="str">
        <f>IF(Débito!A160="","",Débito!B160)</f>
        <v/>
      </c>
      <c r="D160" s="2" t="str">
        <f>IF(Débito!A160="","",Débito!C160)</f>
        <v/>
      </c>
      <c r="E160" s="2" t="str">
        <f>IF(Débito!A160="","",Débito!D160)</f>
        <v/>
      </c>
      <c r="F160" s="5" t="str">
        <f>IF(Débito!A160="","",Débito!E160)</f>
        <v/>
      </c>
      <c r="G160" s="2" t="str">
        <f>IF(Débito!A160="","",Débito!F160)</f>
        <v/>
      </c>
      <c r="H160" s="2" t="str">
        <f>IF(Débito!A160="","",Débito!H160)</f>
        <v/>
      </c>
      <c r="I160" s="2" t="str">
        <f>IF(Débito!A160="","",Débito!G160)</f>
        <v/>
      </c>
    </row>
    <row r="161" spans="1:9" ht="16.5" customHeight="1">
      <c r="A161" s="2" t="str">
        <f>IF(Débito!A161="","","Débito")</f>
        <v/>
      </c>
      <c r="B161" s="4" t="str">
        <f>IF(Débito!A161="","",Débito!A161)</f>
        <v/>
      </c>
      <c r="C161" s="2" t="str">
        <f>IF(Débito!A161="","",Débito!B161)</f>
        <v/>
      </c>
      <c r="D161" s="2" t="str">
        <f>IF(Débito!A161="","",Débito!C161)</f>
        <v/>
      </c>
      <c r="E161" s="2" t="str">
        <f>IF(Débito!A161="","",Débito!D161)</f>
        <v/>
      </c>
      <c r="F161" s="5" t="str">
        <f>IF(Débito!A161="","",Débito!E161)</f>
        <v/>
      </c>
      <c r="G161" s="2" t="str">
        <f>IF(Débito!A161="","",Débito!F161)</f>
        <v/>
      </c>
      <c r="H161" s="2" t="str">
        <f>IF(Débito!A161="","",Débito!H161)</f>
        <v/>
      </c>
      <c r="I161" s="2" t="str">
        <f>IF(Débito!A161="","",Débito!G161)</f>
        <v/>
      </c>
    </row>
    <row r="162" spans="1:9" ht="16.5" customHeight="1">
      <c r="A162" s="2" t="str">
        <f>IF(Débito!A162="","","Débito")</f>
        <v/>
      </c>
      <c r="B162" s="4" t="str">
        <f>IF(Débito!A162="","",Débito!A162)</f>
        <v/>
      </c>
      <c r="C162" s="2" t="str">
        <f>IF(Débito!A162="","",Débito!B162)</f>
        <v/>
      </c>
      <c r="D162" s="2" t="str">
        <f>IF(Débito!A162="","",Débito!C162)</f>
        <v/>
      </c>
      <c r="E162" s="2" t="str">
        <f>IF(Débito!A162="","",Débito!D162)</f>
        <v/>
      </c>
      <c r="F162" s="5" t="str">
        <f>IF(Débito!A162="","",Débito!E162)</f>
        <v/>
      </c>
      <c r="G162" s="2" t="str">
        <f>IF(Débito!A162="","",Débito!F162)</f>
        <v/>
      </c>
      <c r="H162" s="2" t="str">
        <f>IF(Débito!A162="","",Débito!H162)</f>
        <v/>
      </c>
      <c r="I162" s="2" t="str">
        <f>IF(Débito!A162="","",Débito!G162)</f>
        <v/>
      </c>
    </row>
    <row r="163" spans="1:9" ht="16.5" customHeight="1">
      <c r="A163" s="2" t="str">
        <f>IF(Débito!A163="","","Débito")</f>
        <v/>
      </c>
      <c r="B163" s="4" t="str">
        <f>IF(Débito!A163="","",Débito!A163)</f>
        <v/>
      </c>
      <c r="C163" s="2" t="str">
        <f>IF(Débito!A163="","",Débito!B163)</f>
        <v/>
      </c>
      <c r="D163" s="2" t="str">
        <f>IF(Débito!A163="","",Débito!C163)</f>
        <v/>
      </c>
      <c r="E163" s="2" t="str">
        <f>IF(Débito!A163="","",Débito!D163)</f>
        <v/>
      </c>
      <c r="F163" s="5" t="str">
        <f>IF(Débito!A163="","",Débito!E163)</f>
        <v/>
      </c>
      <c r="G163" s="2" t="str">
        <f>IF(Débito!A163="","",Débito!F163)</f>
        <v/>
      </c>
      <c r="H163" s="2" t="str">
        <f>IF(Débito!A163="","",Débito!H163)</f>
        <v/>
      </c>
      <c r="I163" s="2" t="str">
        <f>IF(Débito!A163="","",Débito!G163)</f>
        <v/>
      </c>
    </row>
    <row r="164" spans="1:9" ht="16.5" customHeight="1">
      <c r="A164" s="2" t="str">
        <f>IF(Débito!A164="","","Débito")</f>
        <v/>
      </c>
      <c r="B164" s="4" t="str">
        <f>IF(Débito!A164="","",Débito!A164)</f>
        <v/>
      </c>
      <c r="C164" s="2" t="str">
        <f>IF(Débito!A164="","",Débito!B164)</f>
        <v/>
      </c>
      <c r="D164" s="2" t="str">
        <f>IF(Débito!A164="","",Débito!C164)</f>
        <v/>
      </c>
      <c r="E164" s="2" t="str">
        <f>IF(Débito!A164="","",Débito!D164)</f>
        <v/>
      </c>
      <c r="F164" s="5" t="str">
        <f>IF(Débito!A164="","",Débito!E164)</f>
        <v/>
      </c>
      <c r="G164" s="2" t="str">
        <f>IF(Débito!A164="","",Débito!F164)</f>
        <v/>
      </c>
      <c r="H164" s="2" t="str">
        <f>IF(Débito!A164="","",Débito!H164)</f>
        <v/>
      </c>
      <c r="I164" s="2" t="str">
        <f>IF(Débito!A164="","",Débito!G164)</f>
        <v/>
      </c>
    </row>
    <row r="165" spans="1:9" ht="16.5" customHeight="1">
      <c r="A165" s="2" t="str">
        <f>IF(Débito!A165="","","Débito")</f>
        <v/>
      </c>
      <c r="B165" s="4" t="str">
        <f>IF(Débito!A165="","",Débito!A165)</f>
        <v/>
      </c>
      <c r="C165" s="2" t="str">
        <f>IF(Débito!A165="","",Débito!B165)</f>
        <v/>
      </c>
      <c r="D165" s="2" t="str">
        <f>IF(Débito!A165="","",Débito!C165)</f>
        <v/>
      </c>
      <c r="E165" s="2" t="str">
        <f>IF(Débito!A165="","",Débito!D165)</f>
        <v/>
      </c>
      <c r="F165" s="5" t="str">
        <f>IF(Débito!A165="","",Débito!E165)</f>
        <v/>
      </c>
      <c r="G165" s="2" t="str">
        <f>IF(Débito!A165="","",Débito!F165)</f>
        <v/>
      </c>
      <c r="H165" s="2" t="str">
        <f>IF(Débito!A165="","",Débito!H165)</f>
        <v/>
      </c>
      <c r="I165" s="2" t="str">
        <f>IF(Débito!A165="","",Débito!G165)</f>
        <v/>
      </c>
    </row>
    <row r="166" spans="1:9" ht="16.5" customHeight="1">
      <c r="A166" s="2" t="str">
        <f>IF(Débito!A166="","","Débito")</f>
        <v/>
      </c>
      <c r="B166" s="4" t="str">
        <f>IF(Débito!A166="","",Débito!A166)</f>
        <v/>
      </c>
      <c r="C166" s="2" t="str">
        <f>IF(Débito!A166="","",Débito!B166)</f>
        <v/>
      </c>
      <c r="D166" s="2" t="str">
        <f>IF(Débito!A166="","",Débito!C166)</f>
        <v/>
      </c>
      <c r="E166" s="2" t="str">
        <f>IF(Débito!A166="","",Débito!D166)</f>
        <v/>
      </c>
      <c r="F166" s="5" t="str">
        <f>IF(Débito!A166="","",Débito!E166)</f>
        <v/>
      </c>
      <c r="G166" s="2" t="str">
        <f>IF(Débito!A166="","",Débito!F166)</f>
        <v/>
      </c>
      <c r="H166" s="2" t="str">
        <f>IF(Débito!A166="","",Débito!H166)</f>
        <v/>
      </c>
      <c r="I166" s="2" t="str">
        <f>IF(Débito!A166="","",Débito!G166)</f>
        <v/>
      </c>
    </row>
    <row r="167" spans="1:9" ht="16.5" customHeight="1">
      <c r="A167" s="2" t="str">
        <f>IF(Débito!A167="","","Débito")</f>
        <v/>
      </c>
      <c r="B167" s="4" t="str">
        <f>IF(Débito!A167="","",Débito!A167)</f>
        <v/>
      </c>
      <c r="C167" s="2" t="str">
        <f>IF(Débito!A167="","",Débito!B167)</f>
        <v/>
      </c>
      <c r="D167" s="2" t="str">
        <f>IF(Débito!A167="","",Débito!C167)</f>
        <v/>
      </c>
      <c r="E167" s="2" t="str">
        <f>IF(Débito!A167="","",Débito!D167)</f>
        <v/>
      </c>
      <c r="F167" s="5" t="str">
        <f>IF(Débito!A167="","",Débito!E167)</f>
        <v/>
      </c>
      <c r="G167" s="2" t="str">
        <f>IF(Débito!A167="","",Débito!F167)</f>
        <v/>
      </c>
      <c r="H167" s="2" t="str">
        <f>IF(Débito!A167="","",Débito!H167)</f>
        <v/>
      </c>
      <c r="I167" s="2" t="str">
        <f>IF(Débito!A167="","",Débito!G167)</f>
        <v/>
      </c>
    </row>
    <row r="168" spans="1:9" ht="16.5" customHeight="1">
      <c r="A168" s="2" t="str">
        <f>IF(Débito!A168="","","Débito")</f>
        <v/>
      </c>
      <c r="B168" s="4" t="str">
        <f>IF(Débito!A168="","",Débito!A168)</f>
        <v/>
      </c>
      <c r="C168" s="2" t="str">
        <f>IF(Débito!A168="","",Débito!B168)</f>
        <v/>
      </c>
      <c r="D168" s="2" t="str">
        <f>IF(Débito!A168="","",Débito!C168)</f>
        <v/>
      </c>
      <c r="E168" s="2" t="str">
        <f>IF(Débito!A168="","",Débito!D168)</f>
        <v/>
      </c>
      <c r="F168" s="5" t="str">
        <f>IF(Débito!A168="","",Débito!E168)</f>
        <v/>
      </c>
      <c r="G168" s="2" t="str">
        <f>IF(Débito!A168="","",Débito!F168)</f>
        <v/>
      </c>
      <c r="H168" s="2" t="str">
        <f>IF(Débito!A168="","",Débito!H168)</f>
        <v/>
      </c>
      <c r="I168" s="2" t="str">
        <f>IF(Débito!A168="","",Débito!G168)</f>
        <v/>
      </c>
    </row>
    <row r="169" spans="1:9" ht="16.5" customHeight="1">
      <c r="A169" s="2" t="str">
        <f>IF(Débito!A169="","","Débito")</f>
        <v/>
      </c>
      <c r="B169" s="4" t="str">
        <f>IF(Débito!A169="","",Débito!A169)</f>
        <v/>
      </c>
      <c r="C169" s="2" t="str">
        <f>IF(Débito!A169="","",Débito!B169)</f>
        <v/>
      </c>
      <c r="D169" s="2" t="str">
        <f>IF(Débito!A169="","",Débito!C169)</f>
        <v/>
      </c>
      <c r="E169" s="2" t="str">
        <f>IF(Débito!A169="","",Débito!D169)</f>
        <v/>
      </c>
      <c r="F169" s="5" t="str">
        <f>IF(Débito!A169="","",Débito!E169)</f>
        <v/>
      </c>
      <c r="G169" s="2" t="str">
        <f>IF(Débito!A169="","",Débito!F169)</f>
        <v/>
      </c>
      <c r="H169" s="2" t="str">
        <f>IF(Débito!A169="","",Débito!H169)</f>
        <v/>
      </c>
      <c r="I169" s="2" t="str">
        <f>IF(Débito!A169="","",Débito!G169)</f>
        <v/>
      </c>
    </row>
    <row r="170" spans="1:9" ht="16.5" customHeight="1">
      <c r="A170" s="2" t="str">
        <f>IF(Débito!A170="","","Débito")</f>
        <v/>
      </c>
      <c r="B170" s="4" t="str">
        <f>IF(Débito!A170="","",Débito!A170)</f>
        <v/>
      </c>
      <c r="C170" s="2" t="str">
        <f>IF(Débito!A170="","",Débito!B170)</f>
        <v/>
      </c>
      <c r="D170" s="2" t="str">
        <f>IF(Débito!A170="","",Débito!C170)</f>
        <v/>
      </c>
      <c r="E170" s="2" t="str">
        <f>IF(Débito!A170="","",Débito!D170)</f>
        <v/>
      </c>
      <c r="F170" s="5" t="str">
        <f>IF(Débito!A170="","",Débito!E170)</f>
        <v/>
      </c>
      <c r="G170" s="2" t="str">
        <f>IF(Débito!A170="","",Débito!F170)</f>
        <v/>
      </c>
      <c r="H170" s="2" t="str">
        <f>IF(Débito!A170="","",Débito!H170)</f>
        <v/>
      </c>
      <c r="I170" s="2" t="str">
        <f>IF(Débito!A170="","",Débito!G170)</f>
        <v/>
      </c>
    </row>
    <row r="171" spans="1:9" ht="16.5" customHeight="1">
      <c r="A171" s="2" t="str">
        <f>IF(Débito!A171="","","Débito")</f>
        <v/>
      </c>
      <c r="B171" s="4" t="str">
        <f>IF(Débito!A171="","",Débito!A171)</f>
        <v/>
      </c>
      <c r="C171" s="2" t="str">
        <f>IF(Débito!A171="","",Débito!B171)</f>
        <v/>
      </c>
      <c r="D171" s="2" t="str">
        <f>IF(Débito!A171="","",Débito!C171)</f>
        <v/>
      </c>
      <c r="E171" s="2" t="str">
        <f>IF(Débito!A171="","",Débito!D171)</f>
        <v/>
      </c>
      <c r="F171" s="5" t="str">
        <f>IF(Débito!A171="","",Débito!E171)</f>
        <v/>
      </c>
      <c r="G171" s="2" t="str">
        <f>IF(Débito!A171="","",Débito!F171)</f>
        <v/>
      </c>
      <c r="H171" s="2" t="str">
        <f>IF(Débito!A171="","",Débito!H171)</f>
        <v/>
      </c>
      <c r="I171" s="2" t="str">
        <f>IF(Débito!A171="","",Débito!G171)</f>
        <v/>
      </c>
    </row>
    <row r="172" spans="1:9" ht="16.5" customHeight="1">
      <c r="A172" s="2" t="str">
        <f>IF(Débito!A172="","","Débito")</f>
        <v/>
      </c>
      <c r="B172" s="4" t="str">
        <f>IF(Débito!A172="","",Débito!A172)</f>
        <v/>
      </c>
      <c r="C172" s="2" t="str">
        <f>IF(Débito!A172="","",Débito!B172)</f>
        <v/>
      </c>
      <c r="D172" s="2" t="str">
        <f>IF(Débito!A172="","",Débito!C172)</f>
        <v/>
      </c>
      <c r="E172" s="2" t="str">
        <f>IF(Débito!A172="","",Débito!D172)</f>
        <v/>
      </c>
      <c r="F172" s="5" t="str">
        <f>IF(Débito!A172="","",Débito!E172)</f>
        <v/>
      </c>
      <c r="G172" s="2" t="str">
        <f>IF(Débito!A172="","",Débito!F172)</f>
        <v/>
      </c>
      <c r="H172" s="2" t="str">
        <f>IF(Débito!A172="","",Débito!H172)</f>
        <v/>
      </c>
      <c r="I172" s="2" t="str">
        <f>IF(Débito!A172="","",Débito!G172)</f>
        <v/>
      </c>
    </row>
    <row r="173" spans="1:9" ht="16.5" customHeight="1">
      <c r="A173" s="2" t="str">
        <f>IF(Débito!A173="","","Débito")</f>
        <v/>
      </c>
      <c r="B173" s="4" t="str">
        <f>IF(Débito!A173="","",Débito!A173)</f>
        <v/>
      </c>
      <c r="C173" s="2" t="str">
        <f>IF(Débito!A173="","",Débito!B173)</f>
        <v/>
      </c>
      <c r="D173" s="2" t="str">
        <f>IF(Débito!A173="","",Débito!C173)</f>
        <v/>
      </c>
      <c r="E173" s="2" t="str">
        <f>IF(Débito!A173="","",Débito!D173)</f>
        <v/>
      </c>
      <c r="F173" s="5" t="str">
        <f>IF(Débito!A173="","",Débito!E173)</f>
        <v/>
      </c>
      <c r="G173" s="2" t="str">
        <f>IF(Débito!A173="","",Débito!F173)</f>
        <v/>
      </c>
      <c r="H173" s="2" t="str">
        <f>IF(Débito!A173="","",Débito!H173)</f>
        <v/>
      </c>
      <c r="I173" s="2" t="str">
        <f>IF(Débito!A173="","",Débito!G173)</f>
        <v/>
      </c>
    </row>
    <row r="174" spans="1:9" ht="16.5" customHeight="1">
      <c r="A174" s="2" t="str">
        <f>IF(Débito!A174="","","Débito")</f>
        <v/>
      </c>
      <c r="B174" s="4" t="str">
        <f>IF(Débito!A174="","",Débito!A174)</f>
        <v/>
      </c>
      <c r="C174" s="2" t="str">
        <f>IF(Débito!A174="","",Débito!B174)</f>
        <v/>
      </c>
      <c r="D174" s="2" t="str">
        <f>IF(Débito!A174="","",Débito!C174)</f>
        <v/>
      </c>
      <c r="E174" s="2" t="str">
        <f>IF(Débito!A174="","",Débito!D174)</f>
        <v/>
      </c>
      <c r="F174" s="5" t="str">
        <f>IF(Débito!A174="","",Débito!E174)</f>
        <v/>
      </c>
      <c r="G174" s="2" t="str">
        <f>IF(Débito!A174="","",Débito!F174)</f>
        <v/>
      </c>
      <c r="H174" s="2" t="str">
        <f>IF(Débito!A174="","",Débito!H174)</f>
        <v/>
      </c>
      <c r="I174" s="2" t="str">
        <f>IF(Débito!A174="","",Débito!G174)</f>
        <v/>
      </c>
    </row>
    <row r="175" spans="1:9" ht="16.5" customHeight="1">
      <c r="A175" s="2" t="str">
        <f>IF(Débito!A175="","","Débito")</f>
        <v/>
      </c>
      <c r="B175" s="4" t="str">
        <f>IF(Débito!A175="","",Débito!A175)</f>
        <v/>
      </c>
      <c r="C175" s="2" t="str">
        <f>IF(Débito!A175="","",Débito!B175)</f>
        <v/>
      </c>
      <c r="D175" s="2" t="str">
        <f>IF(Débito!A175="","",Débito!C175)</f>
        <v/>
      </c>
      <c r="E175" s="2" t="str">
        <f>IF(Débito!A175="","",Débito!D175)</f>
        <v/>
      </c>
      <c r="F175" s="5" t="str">
        <f>IF(Débito!A175="","",Débito!E175)</f>
        <v/>
      </c>
      <c r="G175" s="2" t="str">
        <f>IF(Débito!A175="","",Débito!F175)</f>
        <v/>
      </c>
      <c r="H175" s="2" t="str">
        <f>IF(Débito!A175="","",Débito!H175)</f>
        <v/>
      </c>
      <c r="I175" s="2" t="str">
        <f>IF(Débito!A175="","",Débito!G175)</f>
        <v/>
      </c>
    </row>
    <row r="176" spans="1:9" ht="16.5" customHeight="1">
      <c r="A176" s="2" t="str">
        <f>IF(Débito!A176="","","Débito")</f>
        <v/>
      </c>
      <c r="B176" s="4" t="str">
        <f>IF(Débito!A176="","",Débito!A176)</f>
        <v/>
      </c>
      <c r="C176" s="2" t="str">
        <f>IF(Débito!A176="","",Débito!B176)</f>
        <v/>
      </c>
      <c r="D176" s="2" t="str">
        <f>IF(Débito!A176="","",Débito!C176)</f>
        <v/>
      </c>
      <c r="E176" s="2" t="str">
        <f>IF(Débito!A176="","",Débito!D176)</f>
        <v/>
      </c>
      <c r="F176" s="5" t="str">
        <f>IF(Débito!A176="","",Débito!E176)</f>
        <v/>
      </c>
      <c r="G176" s="2" t="str">
        <f>IF(Débito!A176="","",Débito!F176)</f>
        <v/>
      </c>
      <c r="H176" s="2" t="str">
        <f>IF(Débito!A176="","",Débito!H176)</f>
        <v/>
      </c>
      <c r="I176" s="2" t="str">
        <f>IF(Débito!A176="","",Débito!G176)</f>
        <v/>
      </c>
    </row>
    <row r="177" spans="1:9" ht="16.5" customHeight="1">
      <c r="A177" s="2" t="str">
        <f>IF(Débito!A177="","","Débito")</f>
        <v/>
      </c>
      <c r="B177" s="4" t="str">
        <f>IF(Débito!A177="","",Débito!A177)</f>
        <v/>
      </c>
      <c r="C177" s="2" t="str">
        <f>IF(Débito!A177="","",Débito!B177)</f>
        <v/>
      </c>
      <c r="D177" s="2" t="str">
        <f>IF(Débito!A177="","",Débito!C177)</f>
        <v/>
      </c>
      <c r="E177" s="2" t="str">
        <f>IF(Débito!A177="","",Débito!D177)</f>
        <v/>
      </c>
      <c r="F177" s="5" t="str">
        <f>IF(Débito!A177="","",Débito!E177)</f>
        <v/>
      </c>
      <c r="G177" s="2" t="str">
        <f>IF(Débito!A177="","",Débito!F177)</f>
        <v/>
      </c>
      <c r="H177" s="2" t="str">
        <f>IF(Débito!A177="","",Débito!H177)</f>
        <v/>
      </c>
      <c r="I177" s="2" t="str">
        <f>IF(Débito!A177="","",Débito!G177)</f>
        <v/>
      </c>
    </row>
    <row r="178" spans="1:9" ht="16.5" customHeight="1">
      <c r="A178" s="2" t="str">
        <f>IF(Débito!A178="","","Débito")</f>
        <v/>
      </c>
      <c r="B178" s="4" t="str">
        <f>IF(Débito!A178="","",Débito!A178)</f>
        <v/>
      </c>
      <c r="C178" s="2" t="str">
        <f>IF(Débito!A178="","",Débito!B178)</f>
        <v/>
      </c>
      <c r="D178" s="2" t="str">
        <f>IF(Débito!A178="","",Débito!C178)</f>
        <v/>
      </c>
      <c r="E178" s="2" t="str">
        <f>IF(Débito!A178="","",Débito!D178)</f>
        <v/>
      </c>
      <c r="F178" s="5" t="str">
        <f>IF(Débito!A178="","",Débito!E178)</f>
        <v/>
      </c>
      <c r="G178" s="2" t="str">
        <f>IF(Débito!A178="","",Débito!F178)</f>
        <v/>
      </c>
      <c r="H178" s="2" t="str">
        <f>IF(Débito!A178="","",Débito!H178)</f>
        <v/>
      </c>
      <c r="I178" s="2" t="str">
        <f>IF(Débito!A178="","",Débito!G178)</f>
        <v/>
      </c>
    </row>
    <row r="179" spans="1:9" ht="16.5" customHeight="1">
      <c r="A179" s="2" t="str">
        <f>IF(Débito!A179="","","Débito")</f>
        <v/>
      </c>
      <c r="B179" s="4" t="str">
        <f>IF(Débito!A179="","",Débito!A179)</f>
        <v/>
      </c>
      <c r="C179" s="2" t="str">
        <f>IF(Débito!A179="","",Débito!B179)</f>
        <v/>
      </c>
      <c r="D179" s="2" t="str">
        <f>IF(Débito!A179="","",Débito!C179)</f>
        <v/>
      </c>
      <c r="E179" s="2" t="str">
        <f>IF(Débito!A179="","",Débito!D179)</f>
        <v/>
      </c>
      <c r="F179" s="5" t="str">
        <f>IF(Débito!A179="","",Débito!E179)</f>
        <v/>
      </c>
      <c r="G179" s="2" t="str">
        <f>IF(Débito!A179="","",Débito!F179)</f>
        <v/>
      </c>
      <c r="H179" s="2" t="str">
        <f>IF(Débito!A179="","",Débito!H179)</f>
        <v/>
      </c>
      <c r="I179" s="2" t="str">
        <f>IF(Débito!A179="","",Débito!G179)</f>
        <v/>
      </c>
    </row>
    <row r="180" spans="1:9" ht="16.5" customHeight="1">
      <c r="A180" s="2" t="str">
        <f>IF(Débito!A180="","","Débito")</f>
        <v/>
      </c>
      <c r="B180" s="4" t="str">
        <f>IF(Débito!A180="","",Débito!A180)</f>
        <v/>
      </c>
      <c r="C180" s="2" t="str">
        <f>IF(Débito!A180="","",Débito!B180)</f>
        <v/>
      </c>
      <c r="D180" s="2" t="str">
        <f>IF(Débito!A180="","",Débito!C180)</f>
        <v/>
      </c>
      <c r="E180" s="2" t="str">
        <f>IF(Débito!A180="","",Débito!D180)</f>
        <v/>
      </c>
      <c r="F180" s="5" t="str">
        <f>IF(Débito!A180="","",Débito!E180)</f>
        <v/>
      </c>
      <c r="G180" s="2" t="str">
        <f>IF(Débito!A180="","",Débito!F180)</f>
        <v/>
      </c>
      <c r="H180" s="2" t="str">
        <f>IF(Débito!A180="","",Débito!H180)</f>
        <v/>
      </c>
      <c r="I180" s="2" t="str">
        <f>IF(Débito!A180="","",Débito!G180)</f>
        <v/>
      </c>
    </row>
    <row r="181" spans="1:9" ht="16.5" customHeight="1">
      <c r="A181" s="2" t="str">
        <f>IF(Débito!A181="","","Débito")</f>
        <v/>
      </c>
      <c r="B181" s="4" t="str">
        <f>IF(Débito!A181="","",Débito!A181)</f>
        <v/>
      </c>
      <c r="C181" s="2" t="str">
        <f>IF(Débito!A181="","",Débito!B181)</f>
        <v/>
      </c>
      <c r="D181" s="2" t="str">
        <f>IF(Débito!A181="","",Débito!C181)</f>
        <v/>
      </c>
      <c r="E181" s="2" t="str">
        <f>IF(Débito!A181="","",Débito!D181)</f>
        <v/>
      </c>
      <c r="F181" s="5" t="str">
        <f>IF(Débito!A181="","",Débito!E181)</f>
        <v/>
      </c>
      <c r="G181" s="2" t="str">
        <f>IF(Débito!A181="","",Débito!F181)</f>
        <v/>
      </c>
      <c r="H181" s="2" t="str">
        <f>IF(Débito!A181="","",Débito!H181)</f>
        <v/>
      </c>
      <c r="I181" s="2" t="str">
        <f>IF(Débito!A181="","",Débito!G181)</f>
        <v/>
      </c>
    </row>
    <row r="182" spans="1:9" ht="16.5" customHeight="1">
      <c r="A182" s="2" t="str">
        <f>IF(Débito!A182="","","Débito")</f>
        <v/>
      </c>
      <c r="B182" s="4" t="str">
        <f>IF(Débito!A182="","",Débito!A182)</f>
        <v/>
      </c>
      <c r="C182" s="2" t="str">
        <f>IF(Débito!A182="","",Débito!B182)</f>
        <v/>
      </c>
      <c r="D182" s="2" t="str">
        <f>IF(Débito!A182="","",Débito!C182)</f>
        <v/>
      </c>
      <c r="E182" s="2" t="str">
        <f>IF(Débito!A182="","",Débito!D182)</f>
        <v/>
      </c>
      <c r="F182" s="5" t="str">
        <f>IF(Débito!A182="","",Débito!E182)</f>
        <v/>
      </c>
      <c r="G182" s="2" t="str">
        <f>IF(Débito!A182="","",Débito!F182)</f>
        <v/>
      </c>
      <c r="H182" s="2" t="str">
        <f>IF(Débito!A182="","",Débito!H182)</f>
        <v/>
      </c>
      <c r="I182" s="2" t="str">
        <f>IF(Débito!A182="","",Débito!G182)</f>
        <v/>
      </c>
    </row>
    <row r="183" spans="1:9" ht="16.5" customHeight="1">
      <c r="A183" s="2" t="str">
        <f>IF(Débito!A183="","","Débito")</f>
        <v/>
      </c>
      <c r="B183" s="4" t="str">
        <f>IF(Débito!A183="","",Débito!A183)</f>
        <v/>
      </c>
      <c r="C183" s="2" t="str">
        <f>IF(Débito!A183="","",Débito!B183)</f>
        <v/>
      </c>
      <c r="D183" s="2" t="str">
        <f>IF(Débito!A183="","",Débito!C183)</f>
        <v/>
      </c>
      <c r="E183" s="2" t="str">
        <f>IF(Débito!A183="","",Débito!D183)</f>
        <v/>
      </c>
      <c r="F183" s="5" t="str">
        <f>IF(Débito!A183="","",Débito!E183)</f>
        <v/>
      </c>
      <c r="G183" s="2" t="str">
        <f>IF(Débito!A183="","",Débito!F183)</f>
        <v/>
      </c>
      <c r="H183" s="2" t="str">
        <f>IF(Débito!A183="","",Débito!H183)</f>
        <v/>
      </c>
      <c r="I183" s="2" t="str">
        <f>IF(Débito!A183="","",Débito!G183)</f>
        <v/>
      </c>
    </row>
    <row r="184" spans="1:9" ht="16.5" customHeight="1">
      <c r="A184" s="2" t="str">
        <f>IF(Débito!A184="","","Débito")</f>
        <v/>
      </c>
      <c r="B184" s="4" t="str">
        <f>IF(Débito!A184="","",Débito!A184)</f>
        <v/>
      </c>
      <c r="C184" s="2" t="str">
        <f>IF(Débito!A184="","",Débito!B184)</f>
        <v/>
      </c>
      <c r="D184" s="2" t="str">
        <f>IF(Débito!A184="","",Débito!C184)</f>
        <v/>
      </c>
      <c r="E184" s="2" t="str">
        <f>IF(Débito!A184="","",Débito!D184)</f>
        <v/>
      </c>
      <c r="F184" s="5" t="str">
        <f>IF(Débito!A184="","",Débito!E184)</f>
        <v/>
      </c>
      <c r="G184" s="2" t="str">
        <f>IF(Débito!A184="","",Débito!F184)</f>
        <v/>
      </c>
      <c r="H184" s="2" t="str">
        <f>IF(Débito!A184="","",Débito!H184)</f>
        <v/>
      </c>
      <c r="I184" s="2" t="str">
        <f>IF(Débito!A184="","",Débito!G184)</f>
        <v/>
      </c>
    </row>
    <row r="185" spans="1:9" ht="16.5" customHeight="1">
      <c r="A185" s="2" t="str">
        <f>IF(Débito!A185="","","Débito")</f>
        <v/>
      </c>
      <c r="B185" s="4" t="str">
        <f>IF(Débito!A185="","",Débito!A185)</f>
        <v/>
      </c>
      <c r="C185" s="2" t="str">
        <f>IF(Débito!A185="","",Débito!B185)</f>
        <v/>
      </c>
      <c r="D185" s="2" t="str">
        <f>IF(Débito!A185="","",Débito!C185)</f>
        <v/>
      </c>
      <c r="E185" s="2" t="str">
        <f>IF(Débito!A185="","",Débito!D185)</f>
        <v/>
      </c>
      <c r="F185" s="5" t="str">
        <f>IF(Débito!A185="","",Débito!E185)</f>
        <v/>
      </c>
      <c r="G185" s="2" t="str">
        <f>IF(Débito!A185="","",Débito!F185)</f>
        <v/>
      </c>
      <c r="H185" s="2" t="str">
        <f>IF(Débito!A185="","",Débito!H185)</f>
        <v/>
      </c>
      <c r="I185" s="2" t="str">
        <f>IF(Débito!A185="","",Débito!G185)</f>
        <v/>
      </c>
    </row>
    <row r="186" spans="1:9" ht="16.5" customHeight="1">
      <c r="A186" s="2" t="str">
        <f>IF(Débito!A186="","","Débito")</f>
        <v/>
      </c>
      <c r="B186" s="4" t="str">
        <f>IF(Débito!A186="","",Débito!A186)</f>
        <v/>
      </c>
      <c r="C186" s="2" t="str">
        <f>IF(Débito!A186="","",Débito!B186)</f>
        <v/>
      </c>
      <c r="D186" s="2" t="str">
        <f>IF(Débito!A186="","",Débito!C186)</f>
        <v/>
      </c>
      <c r="E186" s="2" t="str">
        <f>IF(Débito!A186="","",Débito!D186)</f>
        <v/>
      </c>
      <c r="F186" s="5" t="str">
        <f>IF(Débito!A186="","",Débito!E186)</f>
        <v/>
      </c>
      <c r="G186" s="2" t="str">
        <f>IF(Débito!A186="","",Débito!F186)</f>
        <v/>
      </c>
      <c r="H186" s="2" t="str">
        <f>IF(Débito!A186="","",Débito!H186)</f>
        <v/>
      </c>
      <c r="I186" s="2" t="str">
        <f>IF(Débito!A186="","",Débito!G186)</f>
        <v/>
      </c>
    </row>
    <row r="187" spans="1:9" ht="16.5" customHeight="1">
      <c r="A187" s="2" t="str">
        <f>IF(Débito!A187="","","Débito")</f>
        <v/>
      </c>
      <c r="B187" s="4" t="str">
        <f>IF(Débito!A187="","",Débito!A187)</f>
        <v/>
      </c>
      <c r="C187" s="2" t="str">
        <f>IF(Débito!A187="","",Débito!B187)</f>
        <v/>
      </c>
      <c r="D187" s="2" t="str">
        <f>IF(Débito!A187="","",Débito!C187)</f>
        <v/>
      </c>
      <c r="E187" s="2" t="str">
        <f>IF(Débito!A187="","",Débito!D187)</f>
        <v/>
      </c>
      <c r="F187" s="5" t="str">
        <f>IF(Débito!A187="","",Débito!E187)</f>
        <v/>
      </c>
      <c r="G187" s="2" t="str">
        <f>IF(Débito!A187="","",Débito!F187)</f>
        <v/>
      </c>
      <c r="H187" s="2" t="str">
        <f>IF(Débito!A187="","",Débito!H187)</f>
        <v/>
      </c>
      <c r="I187" s="2" t="str">
        <f>IF(Débito!A187="","",Débito!G187)</f>
        <v/>
      </c>
    </row>
    <row r="188" spans="1:9" ht="16.5" customHeight="1">
      <c r="A188" s="2" t="str">
        <f>IF(Débito!A188="","","Débito")</f>
        <v/>
      </c>
      <c r="B188" s="4" t="str">
        <f>IF(Débito!A188="","",Débito!A188)</f>
        <v/>
      </c>
      <c r="C188" s="2" t="str">
        <f>IF(Débito!A188="","",Débito!B188)</f>
        <v/>
      </c>
      <c r="D188" s="2" t="str">
        <f>IF(Débito!A188="","",Débito!C188)</f>
        <v/>
      </c>
      <c r="E188" s="2" t="str">
        <f>IF(Débito!A188="","",Débito!D188)</f>
        <v/>
      </c>
      <c r="F188" s="5" t="str">
        <f>IF(Débito!A188="","",Débito!E188)</f>
        <v/>
      </c>
      <c r="G188" s="2" t="str">
        <f>IF(Débito!A188="","",Débito!F188)</f>
        <v/>
      </c>
      <c r="H188" s="2" t="str">
        <f>IF(Débito!A188="","",Débito!H188)</f>
        <v/>
      </c>
      <c r="I188" s="2" t="str">
        <f>IF(Débito!A188="","",Débito!G188)</f>
        <v/>
      </c>
    </row>
    <row r="189" spans="1:9" ht="16.5" customHeight="1">
      <c r="A189" s="2" t="str">
        <f>IF(Débito!A189="","","Débito")</f>
        <v/>
      </c>
      <c r="B189" s="4" t="str">
        <f>IF(Débito!A189="","",Débito!A189)</f>
        <v/>
      </c>
      <c r="C189" s="2" t="str">
        <f>IF(Débito!A189="","",Débito!B189)</f>
        <v/>
      </c>
      <c r="D189" s="2" t="str">
        <f>IF(Débito!A189="","",Débito!C189)</f>
        <v/>
      </c>
      <c r="E189" s="2" t="str">
        <f>IF(Débito!A189="","",Débito!D189)</f>
        <v/>
      </c>
      <c r="F189" s="5" t="str">
        <f>IF(Débito!A189="","",Débito!E189)</f>
        <v/>
      </c>
      <c r="G189" s="2" t="str">
        <f>IF(Débito!A189="","",Débito!F189)</f>
        <v/>
      </c>
      <c r="H189" s="2" t="str">
        <f>IF(Débito!A189="","",Débito!H189)</f>
        <v/>
      </c>
      <c r="I189" s="2" t="str">
        <f>IF(Débito!A189="","",Débito!G189)</f>
        <v/>
      </c>
    </row>
    <row r="190" spans="1:9" ht="16.5" customHeight="1">
      <c r="A190" s="2" t="str">
        <f>IF(Débito!A190="","","Débito")</f>
        <v/>
      </c>
      <c r="B190" s="4" t="str">
        <f>IF(Débito!A190="","",Débito!A190)</f>
        <v/>
      </c>
      <c r="C190" s="2" t="str">
        <f>IF(Débito!A190="","",Débito!B190)</f>
        <v/>
      </c>
      <c r="D190" s="2" t="str">
        <f>IF(Débito!A190="","",Débito!C190)</f>
        <v/>
      </c>
      <c r="E190" s="2" t="str">
        <f>IF(Débito!A190="","",Débito!D190)</f>
        <v/>
      </c>
      <c r="F190" s="5" t="str">
        <f>IF(Débito!A190="","",Débito!E190)</f>
        <v/>
      </c>
      <c r="G190" s="2" t="str">
        <f>IF(Débito!A190="","",Débito!F190)</f>
        <v/>
      </c>
      <c r="H190" s="2" t="str">
        <f>IF(Débito!A190="","",Débito!H190)</f>
        <v/>
      </c>
      <c r="I190" s="2" t="str">
        <f>IF(Débito!A190="","",Débito!G190)</f>
        <v/>
      </c>
    </row>
    <row r="191" spans="1:9" ht="16.5" customHeight="1">
      <c r="A191" s="2" t="str">
        <f>IF(Débito!A191="","","Débito")</f>
        <v/>
      </c>
      <c r="B191" s="4" t="str">
        <f>IF(Débito!A191="","",Débito!A191)</f>
        <v/>
      </c>
      <c r="C191" s="2" t="str">
        <f>IF(Débito!A191="","",Débito!B191)</f>
        <v/>
      </c>
      <c r="D191" s="2" t="str">
        <f>IF(Débito!A191="","",Débito!C191)</f>
        <v/>
      </c>
      <c r="E191" s="2" t="str">
        <f>IF(Débito!A191="","",Débito!D191)</f>
        <v/>
      </c>
      <c r="F191" s="5" t="str">
        <f>IF(Débito!A191="","",Débito!E191)</f>
        <v/>
      </c>
      <c r="G191" s="2" t="str">
        <f>IF(Débito!A191="","",Débito!F191)</f>
        <v/>
      </c>
      <c r="H191" s="2" t="str">
        <f>IF(Débito!A191="","",Débito!H191)</f>
        <v/>
      </c>
      <c r="I191" s="2" t="str">
        <f>IF(Débito!A191="","",Débito!G191)</f>
        <v/>
      </c>
    </row>
    <row r="192" spans="1:9" ht="16.5" customHeight="1">
      <c r="A192" s="2" t="str">
        <f>IF(Débito!A192="","","Débito")</f>
        <v/>
      </c>
      <c r="B192" s="4" t="str">
        <f>IF(Débito!A192="","",Débito!A192)</f>
        <v/>
      </c>
      <c r="C192" s="2" t="str">
        <f>IF(Débito!A192="","",Débito!B192)</f>
        <v/>
      </c>
      <c r="D192" s="2" t="str">
        <f>IF(Débito!A192="","",Débito!C192)</f>
        <v/>
      </c>
      <c r="E192" s="2" t="str">
        <f>IF(Débito!A192="","",Débito!D192)</f>
        <v/>
      </c>
      <c r="F192" s="5" t="str">
        <f>IF(Débito!A192="","",Débito!E192)</f>
        <v/>
      </c>
      <c r="G192" s="2" t="str">
        <f>IF(Débito!A192="","",Débito!F192)</f>
        <v/>
      </c>
      <c r="H192" s="2" t="str">
        <f>IF(Débito!A192="","",Débito!H192)</f>
        <v/>
      </c>
      <c r="I192" s="2" t="str">
        <f>IF(Débito!A192="","",Débito!G192)</f>
        <v/>
      </c>
    </row>
    <row r="193" spans="1:9" ht="16.5" customHeight="1">
      <c r="A193" s="2" t="str">
        <f>IF(Débito!A193="","","Débito")</f>
        <v/>
      </c>
      <c r="B193" s="4" t="str">
        <f>IF(Débito!A193="","",Débito!A193)</f>
        <v/>
      </c>
      <c r="C193" s="2" t="str">
        <f>IF(Débito!A193="","",Débito!B193)</f>
        <v/>
      </c>
      <c r="D193" s="2" t="str">
        <f>IF(Débito!A193="","",Débito!C193)</f>
        <v/>
      </c>
      <c r="E193" s="2" t="str">
        <f>IF(Débito!A193="","",Débito!D193)</f>
        <v/>
      </c>
      <c r="F193" s="5" t="str">
        <f>IF(Débito!A193="","",Débito!E193)</f>
        <v/>
      </c>
      <c r="G193" s="2" t="str">
        <f>IF(Débito!A193="","",Débito!F193)</f>
        <v/>
      </c>
      <c r="H193" s="2" t="str">
        <f>IF(Débito!A193="","",Débito!H193)</f>
        <v/>
      </c>
      <c r="I193" s="2" t="str">
        <f>IF(Débito!A193="","",Débito!G193)</f>
        <v/>
      </c>
    </row>
    <row r="194" spans="1:9" ht="16.5" customHeight="1">
      <c r="A194" s="2" t="str">
        <f>IF(Débito!A194="","","Débito")</f>
        <v/>
      </c>
      <c r="B194" s="4" t="str">
        <f>IF(Débito!A194="","",Débito!A194)</f>
        <v/>
      </c>
      <c r="C194" s="2" t="str">
        <f>IF(Débito!A194="","",Débito!B194)</f>
        <v/>
      </c>
      <c r="D194" s="2" t="str">
        <f>IF(Débito!A194="","",Débito!C194)</f>
        <v/>
      </c>
      <c r="E194" s="2" t="str">
        <f>IF(Débito!A194="","",Débito!D194)</f>
        <v/>
      </c>
      <c r="F194" s="5" t="str">
        <f>IF(Débito!A194="","",Débito!E194)</f>
        <v/>
      </c>
      <c r="G194" s="2" t="str">
        <f>IF(Débito!A194="","",Débito!F194)</f>
        <v/>
      </c>
      <c r="H194" s="2" t="str">
        <f>IF(Débito!A194="","",Débito!H194)</f>
        <v/>
      </c>
      <c r="I194" s="2" t="str">
        <f>IF(Débito!A194="","",Débito!G194)</f>
        <v/>
      </c>
    </row>
    <row r="195" spans="1:9" ht="16.5" customHeight="1">
      <c r="A195" s="2" t="str">
        <f>IF(Débito!A195="","","Débito")</f>
        <v/>
      </c>
      <c r="B195" s="4" t="str">
        <f>IF(Débito!A195="","",Débito!A195)</f>
        <v/>
      </c>
      <c r="C195" s="2" t="str">
        <f>IF(Débito!A195="","",Débito!B195)</f>
        <v/>
      </c>
      <c r="D195" s="2" t="str">
        <f>IF(Débito!A195="","",Débito!C195)</f>
        <v/>
      </c>
      <c r="E195" s="2" t="str">
        <f>IF(Débito!A195="","",Débito!D195)</f>
        <v/>
      </c>
      <c r="F195" s="5" t="str">
        <f>IF(Débito!A195="","",Débito!E195)</f>
        <v/>
      </c>
      <c r="G195" s="2" t="str">
        <f>IF(Débito!A195="","",Débito!F195)</f>
        <v/>
      </c>
      <c r="H195" s="2" t="str">
        <f>IF(Débito!A195="","",Débito!H195)</f>
        <v/>
      </c>
      <c r="I195" s="2" t="str">
        <f>IF(Débito!A195="","",Débito!G195)</f>
        <v/>
      </c>
    </row>
    <row r="196" spans="1:9" ht="16.5" customHeight="1">
      <c r="A196" s="2" t="str">
        <f>IF(Débito!A196="","","Débito")</f>
        <v/>
      </c>
      <c r="B196" s="4" t="str">
        <f>IF(Débito!A196="","",Débito!A196)</f>
        <v/>
      </c>
      <c r="C196" s="2" t="str">
        <f>IF(Débito!A196="","",Débito!B196)</f>
        <v/>
      </c>
      <c r="D196" s="2" t="str">
        <f>IF(Débito!A196="","",Débito!C196)</f>
        <v/>
      </c>
      <c r="E196" s="2" t="str">
        <f>IF(Débito!A196="","",Débito!D196)</f>
        <v/>
      </c>
      <c r="F196" s="5" t="str">
        <f>IF(Débito!A196="","",Débito!E196)</f>
        <v/>
      </c>
      <c r="G196" s="2" t="str">
        <f>IF(Débito!A196="","",Débito!F196)</f>
        <v/>
      </c>
      <c r="H196" s="2" t="str">
        <f>IF(Débito!A196="","",Débito!H196)</f>
        <v/>
      </c>
      <c r="I196" s="2" t="str">
        <f>IF(Débito!A196="","",Débito!G196)</f>
        <v/>
      </c>
    </row>
    <row r="197" spans="1:9" ht="16.5" customHeight="1">
      <c r="A197" s="2" t="str">
        <f>IF(Débito!A197="","","Débito")</f>
        <v/>
      </c>
      <c r="B197" s="4" t="str">
        <f>IF(Débito!A197="","",Débito!A197)</f>
        <v/>
      </c>
      <c r="C197" s="2" t="str">
        <f>IF(Débito!A197="","",Débito!B197)</f>
        <v/>
      </c>
      <c r="D197" s="2" t="str">
        <f>IF(Débito!A197="","",Débito!C197)</f>
        <v/>
      </c>
      <c r="E197" s="2" t="str">
        <f>IF(Débito!A197="","",Débito!D197)</f>
        <v/>
      </c>
      <c r="F197" s="5" t="str">
        <f>IF(Débito!A197="","",Débito!E197)</f>
        <v/>
      </c>
      <c r="G197" s="2" t="str">
        <f>IF(Débito!A197="","",Débito!F197)</f>
        <v/>
      </c>
      <c r="H197" s="2" t="str">
        <f>IF(Débito!A197="","",Débito!H197)</f>
        <v/>
      </c>
      <c r="I197" s="2" t="str">
        <f>IF(Débito!A197="","",Débito!G197)</f>
        <v/>
      </c>
    </row>
    <row r="198" spans="1:9" ht="16.5" customHeight="1">
      <c r="A198" s="2" t="str">
        <f>IF(Débito!A198="","","Débito")</f>
        <v/>
      </c>
      <c r="B198" s="4" t="str">
        <f>IF(Débito!A198="","",Débito!A198)</f>
        <v/>
      </c>
      <c r="C198" s="2" t="str">
        <f>IF(Débito!A198="","",Débito!B198)</f>
        <v/>
      </c>
      <c r="D198" s="2" t="str">
        <f>IF(Débito!A198="","",Débito!C198)</f>
        <v/>
      </c>
      <c r="E198" s="2" t="str">
        <f>IF(Débito!A198="","",Débito!D198)</f>
        <v/>
      </c>
      <c r="F198" s="5" t="str">
        <f>IF(Débito!A198="","",Débito!E198)</f>
        <v/>
      </c>
      <c r="G198" s="2" t="str">
        <f>IF(Débito!A198="","",Débito!F198)</f>
        <v/>
      </c>
      <c r="H198" s="2" t="str">
        <f>IF(Débito!A198="","",Débito!H198)</f>
        <v/>
      </c>
      <c r="I198" s="2" t="str">
        <f>IF(Débito!A198="","",Débito!G198)</f>
        <v/>
      </c>
    </row>
    <row r="199" spans="1:9" ht="16.5" customHeight="1">
      <c r="A199" s="2" t="str">
        <f>IF(Débito!A199="","","Débito")</f>
        <v/>
      </c>
      <c r="B199" s="4" t="str">
        <f>IF(Débito!A199="","",Débito!A199)</f>
        <v/>
      </c>
      <c r="C199" s="2" t="str">
        <f>IF(Débito!A199="","",Débito!B199)</f>
        <v/>
      </c>
      <c r="D199" s="2" t="str">
        <f>IF(Débito!A199="","",Débito!C199)</f>
        <v/>
      </c>
      <c r="E199" s="2" t="str">
        <f>IF(Débito!A199="","",Débito!D199)</f>
        <v/>
      </c>
      <c r="F199" s="5" t="str">
        <f>IF(Débito!A199="","",Débito!E199)</f>
        <v/>
      </c>
      <c r="G199" s="2" t="str">
        <f>IF(Débito!A199="","",Débito!F199)</f>
        <v/>
      </c>
      <c r="H199" s="2" t="str">
        <f>IF(Débito!A199="","",Débito!H199)</f>
        <v/>
      </c>
      <c r="I199" s="2" t="str">
        <f>IF(Débito!A199="","",Débito!G199)</f>
        <v/>
      </c>
    </row>
    <row r="200" spans="1:9" ht="16.5" customHeight="1">
      <c r="A200" s="2" t="str">
        <f>IF(Débito!A200="","","Débito")</f>
        <v/>
      </c>
      <c r="B200" s="4" t="str">
        <f>IF(Débito!A200="","",Débito!A200)</f>
        <v/>
      </c>
      <c r="C200" s="2" t="str">
        <f>IF(Débito!A200="","",Débito!B200)</f>
        <v/>
      </c>
      <c r="D200" s="2" t="str">
        <f>IF(Débito!A200="","",Débito!C200)</f>
        <v/>
      </c>
      <c r="E200" s="2" t="str">
        <f>IF(Débito!A200="","",Débito!D200)</f>
        <v/>
      </c>
      <c r="F200" s="5" t="str">
        <f>IF(Débito!A200="","",Débito!E200)</f>
        <v/>
      </c>
      <c r="G200" s="2" t="str">
        <f>IF(Débito!A200="","",Débito!F200)</f>
        <v/>
      </c>
      <c r="H200" s="2" t="str">
        <f>IF(Débito!A200="","",Débito!H200)</f>
        <v/>
      </c>
      <c r="I200" s="2" t="str">
        <f>IF(Débito!A200="","",Débito!G200)</f>
        <v/>
      </c>
    </row>
    <row r="201" spans="1:9" ht="16.5" customHeight="1">
      <c r="A201" s="2" t="str">
        <f>IF(Débito!A201="","","Débito")</f>
        <v/>
      </c>
      <c r="B201" s="4" t="str">
        <f>IF(Débito!A201="","",Débito!A201)</f>
        <v/>
      </c>
      <c r="C201" s="2" t="str">
        <f>IF(Débito!A201="","",Débito!B201)</f>
        <v/>
      </c>
      <c r="D201" s="2" t="str">
        <f>IF(Débito!A201="","",Débito!C201)</f>
        <v/>
      </c>
      <c r="E201" s="2" t="str">
        <f>IF(Débito!A201="","",Débito!D201)</f>
        <v/>
      </c>
      <c r="F201" s="5" t="str">
        <f>IF(Débito!A201="","",Débito!E201)</f>
        <v/>
      </c>
      <c r="G201" s="2" t="str">
        <f>IF(Débito!A201="","",Débito!F201)</f>
        <v/>
      </c>
      <c r="H201" s="2" t="str">
        <f>IF(Débito!A201="","",Débito!H201)</f>
        <v/>
      </c>
      <c r="I201" s="2" t="str">
        <f>IF(Débito!A201="","",Débito!G201)</f>
        <v/>
      </c>
    </row>
    <row r="202" spans="1:9" ht="16.5" customHeight="1">
      <c r="A202" s="2" t="str">
        <f>IF(Débito!A202="","","Débito")</f>
        <v/>
      </c>
      <c r="B202" s="4" t="str">
        <f>IF(Débito!A202="","",Débito!A202)</f>
        <v/>
      </c>
      <c r="C202" s="2" t="str">
        <f>IF(Débito!A202="","",Débito!B202)</f>
        <v/>
      </c>
      <c r="D202" s="2" t="str">
        <f>IF(Débito!A202="","",Débito!C202)</f>
        <v/>
      </c>
      <c r="E202" s="2" t="str">
        <f>IF(Débito!A202="","",Débito!D202)</f>
        <v/>
      </c>
      <c r="F202" s="5" t="str">
        <f>IF(Débito!A202="","",Débito!E202)</f>
        <v/>
      </c>
      <c r="G202" s="2" t="str">
        <f>IF(Débito!A202="","",Débito!F202)</f>
        <v/>
      </c>
      <c r="H202" s="2" t="str">
        <f>IF(Débito!A202="","",Débito!H202)</f>
        <v/>
      </c>
      <c r="I202" s="2" t="str">
        <f>IF(Débito!A202="","",Débito!G202)</f>
        <v/>
      </c>
    </row>
    <row r="203" spans="1:9" ht="16.5" customHeight="1">
      <c r="A203" s="2" t="str">
        <f>IF(Débito!A203="","","Débito")</f>
        <v/>
      </c>
      <c r="B203" s="4" t="str">
        <f>IF(Débito!A203="","",Débito!A203)</f>
        <v/>
      </c>
      <c r="C203" s="2" t="str">
        <f>IF(Débito!A203="","",Débito!B203)</f>
        <v/>
      </c>
      <c r="D203" s="2" t="str">
        <f>IF(Débito!A203="","",Débito!C203)</f>
        <v/>
      </c>
      <c r="E203" s="2" t="str">
        <f>IF(Débito!A203="","",Débito!D203)</f>
        <v/>
      </c>
      <c r="F203" s="5" t="str">
        <f>IF(Débito!A203="","",Débito!E203)</f>
        <v/>
      </c>
      <c r="G203" s="2" t="str">
        <f>IF(Débito!A203="","",Débito!F203)</f>
        <v/>
      </c>
      <c r="H203" s="2" t="str">
        <f>IF(Débito!A203="","",Débito!H203)</f>
        <v/>
      </c>
      <c r="I203" s="2" t="str">
        <f>IF(Débito!A203="","",Débito!G203)</f>
        <v/>
      </c>
    </row>
    <row r="204" spans="1:9" ht="16.5" customHeight="1">
      <c r="A204" s="2" t="str">
        <f>IF(Débito!A204="","","Débito")</f>
        <v/>
      </c>
      <c r="B204" s="4" t="str">
        <f>IF(Débito!A204="","",Débito!A204)</f>
        <v/>
      </c>
      <c r="C204" s="2" t="str">
        <f>IF(Débito!A204="","",Débito!B204)</f>
        <v/>
      </c>
      <c r="D204" s="2" t="str">
        <f>IF(Débito!A204="","",Débito!C204)</f>
        <v/>
      </c>
      <c r="E204" s="2" t="str">
        <f>IF(Débito!A204="","",Débito!D204)</f>
        <v/>
      </c>
      <c r="F204" s="5" t="str">
        <f>IF(Débito!A204="","",Débito!E204)</f>
        <v/>
      </c>
      <c r="G204" s="2" t="str">
        <f>IF(Débito!A204="","",Débito!F204)</f>
        <v/>
      </c>
      <c r="H204" s="2" t="str">
        <f>IF(Débito!A204="","",Débito!H204)</f>
        <v/>
      </c>
      <c r="I204" s="2" t="str">
        <f>IF(Débito!A204="","",Débito!G204)</f>
        <v/>
      </c>
    </row>
    <row r="205" spans="1:9" ht="16.5" customHeight="1">
      <c r="A205" s="2" t="str">
        <f>IF(Débito!A205="","","Débito")</f>
        <v/>
      </c>
      <c r="B205" s="4" t="str">
        <f>IF(Débito!A205="","",Débito!A205)</f>
        <v/>
      </c>
      <c r="C205" s="2" t="str">
        <f>IF(Débito!A205="","",Débito!B205)</f>
        <v/>
      </c>
      <c r="D205" s="2" t="str">
        <f>IF(Débito!A205="","",Débito!C205)</f>
        <v/>
      </c>
      <c r="E205" s="2" t="str">
        <f>IF(Débito!A205="","",Débito!D205)</f>
        <v/>
      </c>
      <c r="F205" s="5" t="str">
        <f>IF(Débito!A205="","",Débito!E205)</f>
        <v/>
      </c>
      <c r="G205" s="2" t="str">
        <f>IF(Débito!A205="","",Débito!F205)</f>
        <v/>
      </c>
      <c r="H205" s="2" t="str">
        <f>IF(Débito!A205="","",Débito!H205)</f>
        <v/>
      </c>
      <c r="I205" s="2" t="str">
        <f>IF(Débito!A205="","",Débito!G205)</f>
        <v/>
      </c>
    </row>
    <row r="206" spans="1:9" ht="16.5" customHeight="1">
      <c r="A206" s="2" t="str">
        <f>IF(Crédito!A6="","","Crédito")</f>
        <v>Crédito</v>
      </c>
      <c r="B206" s="4">
        <f>IF(Crédito!A6="","",Crédito!A6)</f>
        <v>46174</v>
      </c>
      <c r="C206" s="2" t="str">
        <f>IF(Crédito!A6="","",Crédito!B6)</f>
        <v>Streaming</v>
      </c>
      <c r="D206" s="2" t="str">
        <f>IF(Crédito!A6="","",Crédito!C6)</f>
        <v>Assinaturas</v>
      </c>
      <c r="E206" s="2" t="str">
        <f>IF(Crédito!A6="","",Crédito!D6)</f>
        <v>Nubank</v>
      </c>
      <c r="F206" s="5">
        <f>IF(Crédito!A6="","",Crédito!E6)</f>
        <v>29.9</v>
      </c>
      <c r="G206" s="2" t="str">
        <f>IF(Crédito!A6="","",Crédito!H6)</f>
        <v>Pendente</v>
      </c>
      <c r="H206" s="2" t="str">
        <f>IF(Crédito!A6="","",Crédito!J6)</f>
        <v>yyyy-06</v>
      </c>
      <c r="I206" s="2" t="str">
        <f>IF(Crédito!A6="","",Crédito!I6)</f>
        <v>Exemplo</v>
      </c>
    </row>
    <row r="207" spans="1:9" ht="16.5" customHeight="1">
      <c r="A207" s="2" t="str">
        <f>IF(Crédito!A7="","","Crédito")</f>
        <v>Crédito</v>
      </c>
      <c r="B207" s="4">
        <f>IF(Crédito!A7="","",Crédito!A7)</f>
        <v>46176</v>
      </c>
      <c r="C207" s="2" t="str">
        <f>IF(Crédito!A7="","",Crédito!B7)</f>
        <v>Livro</v>
      </c>
      <c r="D207" s="2" t="str">
        <f>IF(Crédito!A7="","",Crédito!C7)</f>
        <v>Educação</v>
      </c>
      <c r="E207" s="2" t="str">
        <f>IF(Crédito!A7="","",Crédito!D7)</f>
        <v>Inter</v>
      </c>
      <c r="F207" s="5">
        <f>IF(Crédito!A7="","",Crédito!E7)</f>
        <v>54.8</v>
      </c>
      <c r="G207" s="2" t="str">
        <f>IF(Crédito!A7="","",Crédito!H7)</f>
        <v>Pendente</v>
      </c>
      <c r="H207" s="2" t="str">
        <f>IF(Crédito!A7="","",Crédito!J7)</f>
        <v>yyyy-06</v>
      </c>
      <c r="I207" s="2" t="str">
        <f>IF(Crédito!A7="","",Crédito!I7)</f>
        <v>Exemplo</v>
      </c>
    </row>
    <row r="208" spans="1:9" ht="16.5" customHeight="1">
      <c r="A208" s="2" t="str">
        <f>IF(Crédito!A8="","","Crédito")</f>
        <v>Crédito</v>
      </c>
      <c r="B208" s="4">
        <f>IF(Crédito!A8="","",Crédito!A8)</f>
        <v>46179</v>
      </c>
      <c r="C208" s="2" t="str">
        <f>IF(Crédito!A8="","",Crédito!B8)</f>
        <v>Tênis</v>
      </c>
      <c r="D208" s="2" t="str">
        <f>IF(Crédito!A8="","",Crédito!C8)</f>
        <v>Compras</v>
      </c>
      <c r="E208" s="2" t="str">
        <f>IF(Crédito!A8="","",Crédito!D8)</f>
        <v>Nubank</v>
      </c>
      <c r="F208" s="5">
        <f>IF(Crédito!A8="","",Crédito!E8)</f>
        <v>79.900000000000006</v>
      </c>
      <c r="G208" s="2" t="str">
        <f>IF(Crédito!A8="","",Crédito!H8)</f>
        <v>Pendente</v>
      </c>
      <c r="H208" s="2" t="str">
        <f>IF(Crédito!A8="","",Crédito!J8)</f>
        <v>yyyy-06</v>
      </c>
      <c r="I208" s="2" t="str">
        <f>IF(Crédito!A8="","",Crédito!I8)</f>
        <v>Parcela 1/3</v>
      </c>
    </row>
    <row r="209" spans="1:9" ht="16.5" customHeight="1">
      <c r="A209" s="2" t="str">
        <f>IF(Crédito!A9="","","Crédito")</f>
        <v>Crédito</v>
      </c>
      <c r="B209" s="4">
        <f>IF(Crédito!A9="","",Crédito!A9)</f>
        <v>46181</v>
      </c>
      <c r="C209" s="2" t="str">
        <f>IF(Crédito!A9="","",Crédito!B9)</f>
        <v>Cinema</v>
      </c>
      <c r="D209" s="2" t="str">
        <f>IF(Crédito!A9="","",Crédito!C9)</f>
        <v>Lazer</v>
      </c>
      <c r="E209" s="2" t="str">
        <f>IF(Crédito!A9="","",Crédito!D9)</f>
        <v>Santander</v>
      </c>
      <c r="F209" s="5">
        <f>IF(Crédito!A9="","",Crédito!E9)</f>
        <v>36</v>
      </c>
      <c r="G209" s="2" t="str">
        <f>IF(Crédito!A9="","",Crédito!H9)</f>
        <v>Pendente</v>
      </c>
      <c r="H209" s="2" t="str">
        <f>IF(Crédito!A9="","",Crédito!J9)</f>
        <v>yyyy-06</v>
      </c>
      <c r="I209" s="2" t="str">
        <f>IF(Crédito!A9="","",Crédito!I9)</f>
        <v>Exemplo</v>
      </c>
    </row>
    <row r="210" spans="1:9" ht="16.5" customHeight="1">
      <c r="A210" s="2" t="str">
        <f>IF(Crédito!A10="","","Crédito")</f>
        <v/>
      </c>
      <c r="B210" s="4" t="str">
        <f>IF(Crédito!A10="","",Crédito!A10)</f>
        <v/>
      </c>
      <c r="C210" s="2" t="str">
        <f>IF(Crédito!A10="","",Crédito!B10)</f>
        <v/>
      </c>
      <c r="D210" s="2" t="str">
        <f>IF(Crédito!A10="","",Crédito!C10)</f>
        <v/>
      </c>
      <c r="E210" s="2" t="str">
        <f>IF(Crédito!A10="","",Crédito!D10)</f>
        <v/>
      </c>
      <c r="F210" s="5" t="str">
        <f>IF(Crédito!A10="","",Crédito!E10)</f>
        <v/>
      </c>
      <c r="G210" s="2" t="str">
        <f>IF(Crédito!A10="","",Crédito!H10)</f>
        <v/>
      </c>
      <c r="H210" s="2" t="str">
        <f>IF(Crédito!A10="","",Crédito!J10)</f>
        <v/>
      </c>
      <c r="I210" s="2" t="str">
        <f>IF(Crédito!A10="","",Crédito!I10)</f>
        <v/>
      </c>
    </row>
    <row r="211" spans="1:9" ht="16.5" customHeight="1">
      <c r="A211" s="2" t="str">
        <f>IF(Crédito!A11="","","Crédito")</f>
        <v/>
      </c>
      <c r="B211" s="4" t="str">
        <f>IF(Crédito!A11="","",Crédito!A11)</f>
        <v/>
      </c>
      <c r="C211" s="2" t="str">
        <f>IF(Crédito!A11="","",Crédito!B11)</f>
        <v/>
      </c>
      <c r="D211" s="2" t="str">
        <f>IF(Crédito!A11="","",Crédito!C11)</f>
        <v/>
      </c>
      <c r="E211" s="2" t="str">
        <f>IF(Crédito!A11="","",Crédito!D11)</f>
        <v/>
      </c>
      <c r="F211" s="5" t="str">
        <f>IF(Crédito!A11="","",Crédito!E11)</f>
        <v/>
      </c>
      <c r="G211" s="2" t="str">
        <f>IF(Crédito!A11="","",Crédito!H11)</f>
        <v/>
      </c>
      <c r="H211" s="2" t="str">
        <f>IF(Crédito!A11="","",Crédito!J11)</f>
        <v/>
      </c>
      <c r="I211" s="2" t="str">
        <f>IF(Crédito!A11="","",Crédito!I11)</f>
        <v/>
      </c>
    </row>
    <row r="212" spans="1:9" ht="16.5" customHeight="1">
      <c r="A212" s="2" t="str">
        <f>IF(Crédito!A12="","","Crédito")</f>
        <v/>
      </c>
      <c r="B212" s="4" t="str">
        <f>IF(Crédito!A12="","",Crédito!A12)</f>
        <v/>
      </c>
      <c r="C212" s="2" t="str">
        <f>IF(Crédito!A12="","",Crédito!B12)</f>
        <v/>
      </c>
      <c r="D212" s="2" t="str">
        <f>IF(Crédito!A12="","",Crédito!C12)</f>
        <v/>
      </c>
      <c r="E212" s="2" t="str">
        <f>IF(Crédito!A12="","",Crédito!D12)</f>
        <v/>
      </c>
      <c r="F212" s="5" t="str">
        <f>IF(Crédito!A12="","",Crédito!E12)</f>
        <v/>
      </c>
      <c r="G212" s="2" t="str">
        <f>IF(Crédito!A12="","",Crédito!H12)</f>
        <v/>
      </c>
      <c r="H212" s="2" t="str">
        <f>IF(Crédito!A12="","",Crédito!J12)</f>
        <v/>
      </c>
      <c r="I212" s="2" t="str">
        <f>IF(Crédito!A12="","",Crédito!I12)</f>
        <v/>
      </c>
    </row>
    <row r="213" spans="1:9" ht="16.5" customHeight="1">
      <c r="A213" s="2" t="str">
        <f>IF(Crédito!A13="","","Crédito")</f>
        <v/>
      </c>
      <c r="B213" s="4" t="str">
        <f>IF(Crédito!A13="","",Crédito!A13)</f>
        <v/>
      </c>
      <c r="C213" s="2" t="str">
        <f>IF(Crédito!A13="","",Crédito!B13)</f>
        <v/>
      </c>
      <c r="D213" s="2" t="str">
        <f>IF(Crédito!A13="","",Crédito!C13)</f>
        <v/>
      </c>
      <c r="E213" s="2" t="str">
        <f>IF(Crédito!A13="","",Crédito!D13)</f>
        <v/>
      </c>
      <c r="F213" s="5" t="str">
        <f>IF(Crédito!A13="","",Crédito!E13)</f>
        <v/>
      </c>
      <c r="G213" s="2" t="str">
        <f>IF(Crédito!A13="","",Crédito!H13)</f>
        <v/>
      </c>
      <c r="H213" s="2" t="str">
        <f>IF(Crédito!A13="","",Crédito!J13)</f>
        <v/>
      </c>
      <c r="I213" s="2" t="str">
        <f>IF(Crédito!A13="","",Crédito!I13)</f>
        <v/>
      </c>
    </row>
    <row r="214" spans="1:9" ht="16.5" customHeight="1">
      <c r="A214" s="2" t="str">
        <f>IF(Crédito!A14="","","Crédito")</f>
        <v/>
      </c>
      <c r="B214" s="4" t="str">
        <f>IF(Crédito!A14="","",Crédito!A14)</f>
        <v/>
      </c>
      <c r="C214" s="2" t="str">
        <f>IF(Crédito!A14="","",Crédito!B14)</f>
        <v/>
      </c>
      <c r="D214" s="2" t="str">
        <f>IF(Crédito!A14="","",Crédito!C14)</f>
        <v/>
      </c>
      <c r="E214" s="2" t="str">
        <f>IF(Crédito!A14="","",Crédito!D14)</f>
        <v/>
      </c>
      <c r="F214" s="5" t="str">
        <f>IF(Crédito!A14="","",Crédito!E14)</f>
        <v/>
      </c>
      <c r="G214" s="2" t="str">
        <f>IF(Crédito!A14="","",Crédito!H14)</f>
        <v/>
      </c>
      <c r="H214" s="2" t="str">
        <f>IF(Crédito!A14="","",Crédito!J14)</f>
        <v/>
      </c>
      <c r="I214" s="2" t="str">
        <f>IF(Crédito!A14="","",Crédito!I14)</f>
        <v/>
      </c>
    </row>
    <row r="215" spans="1:9" ht="16.5" customHeight="1">
      <c r="A215" s="2" t="str">
        <f>IF(Crédito!A15="","","Crédito")</f>
        <v/>
      </c>
      <c r="B215" s="4" t="str">
        <f>IF(Crédito!A15="","",Crédito!A15)</f>
        <v/>
      </c>
      <c r="C215" s="2" t="str">
        <f>IF(Crédito!A15="","",Crédito!B15)</f>
        <v/>
      </c>
      <c r="D215" s="2" t="str">
        <f>IF(Crédito!A15="","",Crédito!C15)</f>
        <v/>
      </c>
      <c r="E215" s="2" t="str">
        <f>IF(Crédito!A15="","",Crédito!D15)</f>
        <v/>
      </c>
      <c r="F215" s="5" t="str">
        <f>IF(Crédito!A15="","",Crédito!E15)</f>
        <v/>
      </c>
      <c r="G215" s="2" t="str">
        <f>IF(Crédito!A15="","",Crédito!H15)</f>
        <v/>
      </c>
      <c r="H215" s="2" t="str">
        <f>IF(Crédito!A15="","",Crédito!J15)</f>
        <v/>
      </c>
      <c r="I215" s="2" t="str">
        <f>IF(Crédito!A15="","",Crédito!I15)</f>
        <v/>
      </c>
    </row>
    <row r="216" spans="1:9" ht="16.5" customHeight="1">
      <c r="A216" s="2" t="str">
        <f>IF(Crédito!A16="","","Crédito")</f>
        <v/>
      </c>
      <c r="B216" s="4" t="str">
        <f>IF(Crédito!A16="","",Crédito!A16)</f>
        <v/>
      </c>
      <c r="C216" s="2" t="str">
        <f>IF(Crédito!A16="","",Crédito!B16)</f>
        <v/>
      </c>
      <c r="D216" s="2" t="str">
        <f>IF(Crédito!A16="","",Crédito!C16)</f>
        <v/>
      </c>
      <c r="E216" s="2" t="str">
        <f>IF(Crédito!A16="","",Crédito!D16)</f>
        <v/>
      </c>
      <c r="F216" s="5" t="str">
        <f>IF(Crédito!A16="","",Crédito!E16)</f>
        <v/>
      </c>
      <c r="G216" s="2" t="str">
        <f>IF(Crédito!A16="","",Crédito!H16)</f>
        <v/>
      </c>
      <c r="H216" s="2" t="str">
        <f>IF(Crédito!A16="","",Crédito!J16)</f>
        <v/>
      </c>
      <c r="I216" s="2" t="str">
        <f>IF(Crédito!A16="","",Crédito!I16)</f>
        <v/>
      </c>
    </row>
    <row r="217" spans="1:9" ht="16.5" customHeight="1">
      <c r="A217" s="2" t="str">
        <f>IF(Crédito!A17="","","Crédito")</f>
        <v/>
      </c>
      <c r="B217" s="4" t="str">
        <f>IF(Crédito!A17="","",Crédito!A17)</f>
        <v/>
      </c>
      <c r="C217" s="2" t="str">
        <f>IF(Crédito!A17="","",Crédito!B17)</f>
        <v/>
      </c>
      <c r="D217" s="2" t="str">
        <f>IF(Crédito!A17="","",Crédito!C17)</f>
        <v/>
      </c>
      <c r="E217" s="2" t="str">
        <f>IF(Crédito!A17="","",Crédito!D17)</f>
        <v/>
      </c>
      <c r="F217" s="5" t="str">
        <f>IF(Crédito!A17="","",Crédito!E17)</f>
        <v/>
      </c>
      <c r="G217" s="2" t="str">
        <f>IF(Crédito!A17="","",Crédito!H17)</f>
        <v/>
      </c>
      <c r="H217" s="2" t="str">
        <f>IF(Crédito!A17="","",Crédito!J17)</f>
        <v/>
      </c>
      <c r="I217" s="2" t="str">
        <f>IF(Crédito!A17="","",Crédito!I17)</f>
        <v/>
      </c>
    </row>
    <row r="218" spans="1:9" ht="16.5" customHeight="1">
      <c r="A218" s="2" t="str">
        <f>IF(Crédito!A18="","","Crédito")</f>
        <v/>
      </c>
      <c r="B218" s="4" t="str">
        <f>IF(Crédito!A18="","",Crédito!A18)</f>
        <v/>
      </c>
      <c r="C218" s="2" t="str">
        <f>IF(Crédito!A18="","",Crédito!B18)</f>
        <v/>
      </c>
      <c r="D218" s="2" t="str">
        <f>IF(Crédito!A18="","",Crédito!C18)</f>
        <v/>
      </c>
      <c r="E218" s="2" t="str">
        <f>IF(Crédito!A18="","",Crédito!D18)</f>
        <v/>
      </c>
      <c r="F218" s="5" t="str">
        <f>IF(Crédito!A18="","",Crédito!E18)</f>
        <v/>
      </c>
      <c r="G218" s="2" t="str">
        <f>IF(Crédito!A18="","",Crédito!H18)</f>
        <v/>
      </c>
      <c r="H218" s="2" t="str">
        <f>IF(Crédito!A18="","",Crédito!J18)</f>
        <v/>
      </c>
      <c r="I218" s="2" t="str">
        <f>IF(Crédito!A18="","",Crédito!I18)</f>
        <v/>
      </c>
    </row>
    <row r="219" spans="1:9" ht="16.5" customHeight="1">
      <c r="A219" s="2" t="str">
        <f>IF(Crédito!A19="","","Crédito")</f>
        <v/>
      </c>
      <c r="B219" s="4" t="str">
        <f>IF(Crédito!A19="","",Crédito!A19)</f>
        <v/>
      </c>
      <c r="C219" s="2" t="str">
        <f>IF(Crédito!A19="","",Crédito!B19)</f>
        <v/>
      </c>
      <c r="D219" s="2" t="str">
        <f>IF(Crédito!A19="","",Crédito!C19)</f>
        <v/>
      </c>
      <c r="E219" s="2" t="str">
        <f>IF(Crédito!A19="","",Crédito!D19)</f>
        <v/>
      </c>
      <c r="F219" s="5" t="str">
        <f>IF(Crédito!A19="","",Crédito!E19)</f>
        <v/>
      </c>
      <c r="G219" s="2" t="str">
        <f>IF(Crédito!A19="","",Crédito!H19)</f>
        <v/>
      </c>
      <c r="H219" s="2" t="str">
        <f>IF(Crédito!A19="","",Crédito!J19)</f>
        <v/>
      </c>
      <c r="I219" s="2" t="str">
        <f>IF(Crédito!A19="","",Crédito!I19)</f>
        <v/>
      </c>
    </row>
    <row r="220" spans="1:9" ht="16.5" customHeight="1">
      <c r="A220" s="2" t="str">
        <f>IF(Crédito!A20="","","Crédito")</f>
        <v/>
      </c>
      <c r="B220" s="4" t="str">
        <f>IF(Crédito!A20="","",Crédito!A20)</f>
        <v/>
      </c>
      <c r="C220" s="2" t="str">
        <f>IF(Crédito!A20="","",Crédito!B20)</f>
        <v/>
      </c>
      <c r="D220" s="2" t="str">
        <f>IF(Crédito!A20="","",Crédito!C20)</f>
        <v/>
      </c>
      <c r="E220" s="2" t="str">
        <f>IF(Crédito!A20="","",Crédito!D20)</f>
        <v/>
      </c>
      <c r="F220" s="5" t="str">
        <f>IF(Crédito!A20="","",Crédito!E20)</f>
        <v/>
      </c>
      <c r="G220" s="2" t="str">
        <f>IF(Crédito!A20="","",Crédito!H20)</f>
        <v/>
      </c>
      <c r="H220" s="2" t="str">
        <f>IF(Crédito!A20="","",Crédito!J20)</f>
        <v/>
      </c>
      <c r="I220" s="2" t="str">
        <f>IF(Crédito!A20="","",Crédito!I20)</f>
        <v/>
      </c>
    </row>
    <row r="221" spans="1:9" ht="16.5" customHeight="1">
      <c r="A221" s="2" t="str">
        <f>IF(Crédito!A21="","","Crédito")</f>
        <v/>
      </c>
      <c r="B221" s="4" t="str">
        <f>IF(Crédito!A21="","",Crédito!A21)</f>
        <v/>
      </c>
      <c r="C221" s="2" t="str">
        <f>IF(Crédito!A21="","",Crédito!B21)</f>
        <v/>
      </c>
      <c r="D221" s="2" t="str">
        <f>IF(Crédito!A21="","",Crédito!C21)</f>
        <v/>
      </c>
      <c r="E221" s="2" t="str">
        <f>IF(Crédito!A21="","",Crédito!D21)</f>
        <v/>
      </c>
      <c r="F221" s="5" t="str">
        <f>IF(Crédito!A21="","",Crédito!E21)</f>
        <v/>
      </c>
      <c r="G221" s="2" t="str">
        <f>IF(Crédito!A21="","",Crédito!H21)</f>
        <v/>
      </c>
      <c r="H221" s="2" t="str">
        <f>IF(Crédito!A21="","",Crédito!J21)</f>
        <v/>
      </c>
      <c r="I221" s="2" t="str">
        <f>IF(Crédito!A21="","",Crédito!I21)</f>
        <v/>
      </c>
    </row>
    <row r="222" spans="1:9" ht="16.5" customHeight="1">
      <c r="A222" s="2" t="str">
        <f>IF(Crédito!A22="","","Crédito")</f>
        <v/>
      </c>
      <c r="B222" s="4" t="str">
        <f>IF(Crédito!A22="","",Crédito!A22)</f>
        <v/>
      </c>
      <c r="C222" s="2" t="str">
        <f>IF(Crédito!A22="","",Crédito!B22)</f>
        <v/>
      </c>
      <c r="D222" s="2" t="str">
        <f>IF(Crédito!A22="","",Crédito!C22)</f>
        <v/>
      </c>
      <c r="E222" s="2" t="str">
        <f>IF(Crédito!A22="","",Crédito!D22)</f>
        <v/>
      </c>
      <c r="F222" s="5" t="str">
        <f>IF(Crédito!A22="","",Crédito!E22)</f>
        <v/>
      </c>
      <c r="G222" s="2" t="str">
        <f>IF(Crédito!A22="","",Crédito!H22)</f>
        <v/>
      </c>
      <c r="H222" s="2" t="str">
        <f>IF(Crédito!A22="","",Crédito!J22)</f>
        <v/>
      </c>
      <c r="I222" s="2" t="str">
        <f>IF(Crédito!A22="","",Crédito!I22)</f>
        <v/>
      </c>
    </row>
    <row r="223" spans="1:9" ht="16.5" customHeight="1">
      <c r="A223" s="2" t="str">
        <f>IF(Crédito!A23="","","Crédito")</f>
        <v/>
      </c>
      <c r="B223" s="4" t="str">
        <f>IF(Crédito!A23="","",Crédito!A23)</f>
        <v/>
      </c>
      <c r="C223" s="2" t="str">
        <f>IF(Crédito!A23="","",Crédito!B23)</f>
        <v/>
      </c>
      <c r="D223" s="2" t="str">
        <f>IF(Crédito!A23="","",Crédito!C23)</f>
        <v/>
      </c>
      <c r="E223" s="2" t="str">
        <f>IF(Crédito!A23="","",Crédito!D23)</f>
        <v/>
      </c>
      <c r="F223" s="5" t="str">
        <f>IF(Crédito!A23="","",Crédito!E23)</f>
        <v/>
      </c>
      <c r="G223" s="2" t="str">
        <f>IF(Crédito!A23="","",Crédito!H23)</f>
        <v/>
      </c>
      <c r="H223" s="2" t="str">
        <f>IF(Crédito!A23="","",Crédito!J23)</f>
        <v/>
      </c>
      <c r="I223" s="2" t="str">
        <f>IF(Crédito!A23="","",Crédito!I23)</f>
        <v/>
      </c>
    </row>
    <row r="224" spans="1:9" ht="16.5" customHeight="1">
      <c r="A224" s="2" t="str">
        <f>IF(Crédito!A24="","","Crédito")</f>
        <v/>
      </c>
      <c r="B224" s="4" t="str">
        <f>IF(Crédito!A24="","",Crédito!A24)</f>
        <v/>
      </c>
      <c r="C224" s="2" t="str">
        <f>IF(Crédito!A24="","",Crédito!B24)</f>
        <v/>
      </c>
      <c r="D224" s="2" t="str">
        <f>IF(Crédito!A24="","",Crédito!C24)</f>
        <v/>
      </c>
      <c r="E224" s="2" t="str">
        <f>IF(Crédito!A24="","",Crédito!D24)</f>
        <v/>
      </c>
      <c r="F224" s="5" t="str">
        <f>IF(Crédito!A24="","",Crédito!E24)</f>
        <v/>
      </c>
      <c r="G224" s="2" t="str">
        <f>IF(Crédito!A24="","",Crédito!H24)</f>
        <v/>
      </c>
      <c r="H224" s="2" t="str">
        <f>IF(Crédito!A24="","",Crédito!J24)</f>
        <v/>
      </c>
      <c r="I224" s="2" t="str">
        <f>IF(Crédito!A24="","",Crédito!I24)</f>
        <v/>
      </c>
    </row>
    <row r="225" spans="1:9" ht="16.5" customHeight="1">
      <c r="A225" s="2" t="str">
        <f>IF(Crédito!A25="","","Crédito")</f>
        <v/>
      </c>
      <c r="B225" s="4" t="str">
        <f>IF(Crédito!A25="","",Crédito!A25)</f>
        <v/>
      </c>
      <c r="C225" s="2" t="str">
        <f>IF(Crédito!A25="","",Crédito!B25)</f>
        <v/>
      </c>
      <c r="D225" s="2" t="str">
        <f>IF(Crédito!A25="","",Crédito!C25)</f>
        <v/>
      </c>
      <c r="E225" s="2" t="str">
        <f>IF(Crédito!A25="","",Crédito!D25)</f>
        <v/>
      </c>
      <c r="F225" s="5" t="str">
        <f>IF(Crédito!A25="","",Crédito!E25)</f>
        <v/>
      </c>
      <c r="G225" s="2" t="str">
        <f>IF(Crédito!A25="","",Crédito!H25)</f>
        <v/>
      </c>
      <c r="H225" s="2" t="str">
        <f>IF(Crédito!A25="","",Crédito!J25)</f>
        <v/>
      </c>
      <c r="I225" s="2" t="str">
        <f>IF(Crédito!A25="","",Crédito!I25)</f>
        <v/>
      </c>
    </row>
    <row r="226" spans="1:9" ht="16.5" customHeight="1">
      <c r="A226" s="2" t="str">
        <f>IF(Crédito!A26="","","Crédito")</f>
        <v/>
      </c>
      <c r="B226" s="4" t="str">
        <f>IF(Crédito!A26="","",Crédito!A26)</f>
        <v/>
      </c>
      <c r="C226" s="2" t="str">
        <f>IF(Crédito!A26="","",Crédito!B26)</f>
        <v/>
      </c>
      <c r="D226" s="2" t="str">
        <f>IF(Crédito!A26="","",Crédito!C26)</f>
        <v/>
      </c>
      <c r="E226" s="2" t="str">
        <f>IF(Crédito!A26="","",Crédito!D26)</f>
        <v/>
      </c>
      <c r="F226" s="5" t="str">
        <f>IF(Crédito!A26="","",Crédito!E26)</f>
        <v/>
      </c>
      <c r="G226" s="2" t="str">
        <f>IF(Crédito!A26="","",Crédito!H26)</f>
        <v/>
      </c>
      <c r="H226" s="2" t="str">
        <f>IF(Crédito!A26="","",Crédito!J26)</f>
        <v/>
      </c>
      <c r="I226" s="2" t="str">
        <f>IF(Crédito!A26="","",Crédito!I26)</f>
        <v/>
      </c>
    </row>
    <row r="227" spans="1:9" ht="16.5" customHeight="1">
      <c r="A227" s="2" t="str">
        <f>IF(Crédito!A27="","","Crédito")</f>
        <v/>
      </c>
      <c r="B227" s="4" t="str">
        <f>IF(Crédito!A27="","",Crédito!A27)</f>
        <v/>
      </c>
      <c r="C227" s="2" t="str">
        <f>IF(Crédito!A27="","",Crédito!B27)</f>
        <v/>
      </c>
      <c r="D227" s="2" t="str">
        <f>IF(Crédito!A27="","",Crédito!C27)</f>
        <v/>
      </c>
      <c r="E227" s="2" t="str">
        <f>IF(Crédito!A27="","",Crédito!D27)</f>
        <v/>
      </c>
      <c r="F227" s="5" t="str">
        <f>IF(Crédito!A27="","",Crédito!E27)</f>
        <v/>
      </c>
      <c r="G227" s="2" t="str">
        <f>IF(Crédito!A27="","",Crédito!H27)</f>
        <v/>
      </c>
      <c r="H227" s="2" t="str">
        <f>IF(Crédito!A27="","",Crédito!J27)</f>
        <v/>
      </c>
      <c r="I227" s="2" t="str">
        <f>IF(Crédito!A27="","",Crédito!I27)</f>
        <v/>
      </c>
    </row>
    <row r="228" spans="1:9" ht="16.5" customHeight="1">
      <c r="A228" s="2" t="str">
        <f>IF(Crédito!A28="","","Crédito")</f>
        <v/>
      </c>
      <c r="B228" s="4" t="str">
        <f>IF(Crédito!A28="","",Crédito!A28)</f>
        <v/>
      </c>
      <c r="C228" s="2" t="str">
        <f>IF(Crédito!A28="","",Crédito!B28)</f>
        <v/>
      </c>
      <c r="D228" s="2" t="str">
        <f>IF(Crédito!A28="","",Crédito!C28)</f>
        <v/>
      </c>
      <c r="E228" s="2" t="str">
        <f>IF(Crédito!A28="","",Crédito!D28)</f>
        <v/>
      </c>
      <c r="F228" s="5" t="str">
        <f>IF(Crédito!A28="","",Crédito!E28)</f>
        <v/>
      </c>
      <c r="G228" s="2" t="str">
        <f>IF(Crédito!A28="","",Crédito!H28)</f>
        <v/>
      </c>
      <c r="H228" s="2" t="str">
        <f>IF(Crédito!A28="","",Crédito!J28)</f>
        <v/>
      </c>
      <c r="I228" s="2" t="str">
        <f>IF(Crédito!A28="","",Crédito!I28)</f>
        <v/>
      </c>
    </row>
    <row r="229" spans="1:9" ht="16.5" customHeight="1">
      <c r="A229" s="2" t="str">
        <f>IF(Crédito!A29="","","Crédito")</f>
        <v/>
      </c>
      <c r="B229" s="4" t="str">
        <f>IF(Crédito!A29="","",Crédito!A29)</f>
        <v/>
      </c>
      <c r="C229" s="2" t="str">
        <f>IF(Crédito!A29="","",Crédito!B29)</f>
        <v/>
      </c>
      <c r="D229" s="2" t="str">
        <f>IF(Crédito!A29="","",Crédito!C29)</f>
        <v/>
      </c>
      <c r="E229" s="2" t="str">
        <f>IF(Crédito!A29="","",Crédito!D29)</f>
        <v/>
      </c>
      <c r="F229" s="5" t="str">
        <f>IF(Crédito!A29="","",Crédito!E29)</f>
        <v/>
      </c>
      <c r="G229" s="2" t="str">
        <f>IF(Crédito!A29="","",Crédito!H29)</f>
        <v/>
      </c>
      <c r="H229" s="2" t="str">
        <f>IF(Crédito!A29="","",Crédito!J29)</f>
        <v/>
      </c>
      <c r="I229" s="2" t="str">
        <f>IF(Crédito!A29="","",Crédito!I29)</f>
        <v/>
      </c>
    </row>
    <row r="230" spans="1:9" ht="16.5" customHeight="1">
      <c r="A230" s="2" t="str">
        <f>IF(Crédito!A30="","","Crédito")</f>
        <v/>
      </c>
      <c r="B230" s="4" t="str">
        <f>IF(Crédito!A30="","",Crédito!A30)</f>
        <v/>
      </c>
      <c r="C230" s="2" t="str">
        <f>IF(Crédito!A30="","",Crédito!B30)</f>
        <v/>
      </c>
      <c r="D230" s="2" t="str">
        <f>IF(Crédito!A30="","",Crédito!C30)</f>
        <v/>
      </c>
      <c r="E230" s="2" t="str">
        <f>IF(Crédito!A30="","",Crédito!D30)</f>
        <v/>
      </c>
      <c r="F230" s="5" t="str">
        <f>IF(Crédito!A30="","",Crédito!E30)</f>
        <v/>
      </c>
      <c r="G230" s="2" t="str">
        <f>IF(Crédito!A30="","",Crédito!H30)</f>
        <v/>
      </c>
      <c r="H230" s="2" t="str">
        <f>IF(Crédito!A30="","",Crédito!J30)</f>
        <v/>
      </c>
      <c r="I230" s="2" t="str">
        <f>IF(Crédito!A30="","",Crédito!I30)</f>
        <v/>
      </c>
    </row>
    <row r="231" spans="1:9" ht="16.5" customHeight="1">
      <c r="A231" s="2" t="str">
        <f>IF(Crédito!A31="","","Crédito")</f>
        <v/>
      </c>
      <c r="B231" s="4" t="str">
        <f>IF(Crédito!A31="","",Crédito!A31)</f>
        <v/>
      </c>
      <c r="C231" s="2" t="str">
        <f>IF(Crédito!A31="","",Crédito!B31)</f>
        <v/>
      </c>
      <c r="D231" s="2" t="str">
        <f>IF(Crédito!A31="","",Crédito!C31)</f>
        <v/>
      </c>
      <c r="E231" s="2" t="str">
        <f>IF(Crédito!A31="","",Crédito!D31)</f>
        <v/>
      </c>
      <c r="F231" s="5" t="str">
        <f>IF(Crédito!A31="","",Crédito!E31)</f>
        <v/>
      </c>
      <c r="G231" s="2" t="str">
        <f>IF(Crédito!A31="","",Crédito!H31)</f>
        <v/>
      </c>
      <c r="H231" s="2" t="str">
        <f>IF(Crédito!A31="","",Crédito!J31)</f>
        <v/>
      </c>
      <c r="I231" s="2" t="str">
        <f>IF(Crédito!A31="","",Crédito!I31)</f>
        <v/>
      </c>
    </row>
    <row r="232" spans="1:9" ht="16.5" customHeight="1">
      <c r="A232" s="2" t="str">
        <f>IF(Crédito!A32="","","Crédito")</f>
        <v/>
      </c>
      <c r="B232" s="4" t="str">
        <f>IF(Crédito!A32="","",Crédito!A32)</f>
        <v/>
      </c>
      <c r="C232" s="2" t="str">
        <f>IF(Crédito!A32="","",Crédito!B32)</f>
        <v/>
      </c>
      <c r="D232" s="2" t="str">
        <f>IF(Crédito!A32="","",Crédito!C32)</f>
        <v/>
      </c>
      <c r="E232" s="2" t="str">
        <f>IF(Crédito!A32="","",Crédito!D32)</f>
        <v/>
      </c>
      <c r="F232" s="5" t="str">
        <f>IF(Crédito!A32="","",Crédito!E32)</f>
        <v/>
      </c>
      <c r="G232" s="2" t="str">
        <f>IF(Crédito!A32="","",Crédito!H32)</f>
        <v/>
      </c>
      <c r="H232" s="2" t="str">
        <f>IF(Crédito!A32="","",Crédito!J32)</f>
        <v/>
      </c>
      <c r="I232" s="2" t="str">
        <f>IF(Crédito!A32="","",Crédito!I32)</f>
        <v/>
      </c>
    </row>
    <row r="233" spans="1:9" ht="16.5" customHeight="1">
      <c r="A233" s="2" t="str">
        <f>IF(Crédito!A33="","","Crédito")</f>
        <v/>
      </c>
      <c r="B233" s="4" t="str">
        <f>IF(Crédito!A33="","",Crédito!A33)</f>
        <v/>
      </c>
      <c r="C233" s="2" t="str">
        <f>IF(Crédito!A33="","",Crédito!B33)</f>
        <v/>
      </c>
      <c r="D233" s="2" t="str">
        <f>IF(Crédito!A33="","",Crédito!C33)</f>
        <v/>
      </c>
      <c r="E233" s="2" t="str">
        <f>IF(Crédito!A33="","",Crédito!D33)</f>
        <v/>
      </c>
      <c r="F233" s="5" t="str">
        <f>IF(Crédito!A33="","",Crédito!E33)</f>
        <v/>
      </c>
      <c r="G233" s="2" t="str">
        <f>IF(Crédito!A33="","",Crédito!H33)</f>
        <v/>
      </c>
      <c r="H233" s="2" t="str">
        <f>IF(Crédito!A33="","",Crédito!J33)</f>
        <v/>
      </c>
      <c r="I233" s="2" t="str">
        <f>IF(Crédito!A33="","",Crédito!I33)</f>
        <v/>
      </c>
    </row>
    <row r="234" spans="1:9" ht="16.5" customHeight="1">
      <c r="A234" s="2" t="str">
        <f>IF(Crédito!A34="","","Crédito")</f>
        <v/>
      </c>
      <c r="B234" s="4" t="str">
        <f>IF(Crédito!A34="","",Crédito!A34)</f>
        <v/>
      </c>
      <c r="C234" s="2" t="str">
        <f>IF(Crédito!A34="","",Crédito!B34)</f>
        <v/>
      </c>
      <c r="D234" s="2" t="str">
        <f>IF(Crédito!A34="","",Crédito!C34)</f>
        <v/>
      </c>
      <c r="E234" s="2" t="str">
        <f>IF(Crédito!A34="","",Crédito!D34)</f>
        <v/>
      </c>
      <c r="F234" s="5" t="str">
        <f>IF(Crédito!A34="","",Crédito!E34)</f>
        <v/>
      </c>
      <c r="G234" s="2" t="str">
        <f>IF(Crédito!A34="","",Crédito!H34)</f>
        <v/>
      </c>
      <c r="H234" s="2" t="str">
        <f>IF(Crédito!A34="","",Crédito!J34)</f>
        <v/>
      </c>
      <c r="I234" s="2" t="str">
        <f>IF(Crédito!A34="","",Crédito!I34)</f>
        <v/>
      </c>
    </row>
    <row r="235" spans="1:9" ht="16.5" customHeight="1">
      <c r="A235" s="2" t="str">
        <f>IF(Crédito!A35="","","Crédito")</f>
        <v/>
      </c>
      <c r="B235" s="4" t="str">
        <f>IF(Crédito!A35="","",Crédito!A35)</f>
        <v/>
      </c>
      <c r="C235" s="2" t="str">
        <f>IF(Crédito!A35="","",Crédito!B35)</f>
        <v/>
      </c>
      <c r="D235" s="2" t="str">
        <f>IF(Crédito!A35="","",Crédito!C35)</f>
        <v/>
      </c>
      <c r="E235" s="2" t="str">
        <f>IF(Crédito!A35="","",Crédito!D35)</f>
        <v/>
      </c>
      <c r="F235" s="5" t="str">
        <f>IF(Crédito!A35="","",Crédito!E35)</f>
        <v/>
      </c>
      <c r="G235" s="2" t="str">
        <f>IF(Crédito!A35="","",Crédito!H35)</f>
        <v/>
      </c>
      <c r="H235" s="2" t="str">
        <f>IF(Crédito!A35="","",Crédito!J35)</f>
        <v/>
      </c>
      <c r="I235" s="2" t="str">
        <f>IF(Crédito!A35="","",Crédito!I35)</f>
        <v/>
      </c>
    </row>
    <row r="236" spans="1:9" ht="16.5" customHeight="1">
      <c r="A236" s="2" t="str">
        <f>IF(Crédito!A36="","","Crédito")</f>
        <v/>
      </c>
      <c r="B236" s="4" t="str">
        <f>IF(Crédito!A36="","",Crédito!A36)</f>
        <v/>
      </c>
      <c r="C236" s="2" t="str">
        <f>IF(Crédito!A36="","",Crédito!B36)</f>
        <v/>
      </c>
      <c r="D236" s="2" t="str">
        <f>IF(Crédito!A36="","",Crédito!C36)</f>
        <v/>
      </c>
      <c r="E236" s="2" t="str">
        <f>IF(Crédito!A36="","",Crédito!D36)</f>
        <v/>
      </c>
      <c r="F236" s="5" t="str">
        <f>IF(Crédito!A36="","",Crédito!E36)</f>
        <v/>
      </c>
      <c r="G236" s="2" t="str">
        <f>IF(Crédito!A36="","",Crédito!H36)</f>
        <v/>
      </c>
      <c r="H236" s="2" t="str">
        <f>IF(Crédito!A36="","",Crédito!J36)</f>
        <v/>
      </c>
      <c r="I236" s="2" t="str">
        <f>IF(Crédito!A36="","",Crédito!I36)</f>
        <v/>
      </c>
    </row>
    <row r="237" spans="1:9" ht="16.5" customHeight="1">
      <c r="A237" s="2" t="str">
        <f>IF(Crédito!A37="","","Crédito")</f>
        <v/>
      </c>
      <c r="B237" s="4" t="str">
        <f>IF(Crédito!A37="","",Crédito!A37)</f>
        <v/>
      </c>
      <c r="C237" s="2" t="str">
        <f>IF(Crédito!A37="","",Crédito!B37)</f>
        <v/>
      </c>
      <c r="D237" s="2" t="str">
        <f>IF(Crédito!A37="","",Crédito!C37)</f>
        <v/>
      </c>
      <c r="E237" s="2" t="str">
        <f>IF(Crédito!A37="","",Crédito!D37)</f>
        <v/>
      </c>
      <c r="F237" s="5" t="str">
        <f>IF(Crédito!A37="","",Crédito!E37)</f>
        <v/>
      </c>
      <c r="G237" s="2" t="str">
        <f>IF(Crédito!A37="","",Crédito!H37)</f>
        <v/>
      </c>
      <c r="H237" s="2" t="str">
        <f>IF(Crédito!A37="","",Crédito!J37)</f>
        <v/>
      </c>
      <c r="I237" s="2" t="str">
        <f>IF(Crédito!A37="","",Crédito!I37)</f>
        <v/>
      </c>
    </row>
    <row r="238" spans="1:9" ht="16.5" customHeight="1">
      <c r="A238" s="2" t="str">
        <f>IF(Crédito!A38="","","Crédito")</f>
        <v/>
      </c>
      <c r="B238" s="4" t="str">
        <f>IF(Crédito!A38="","",Crédito!A38)</f>
        <v/>
      </c>
      <c r="C238" s="2" t="str">
        <f>IF(Crédito!A38="","",Crédito!B38)</f>
        <v/>
      </c>
      <c r="D238" s="2" t="str">
        <f>IF(Crédito!A38="","",Crédito!C38)</f>
        <v/>
      </c>
      <c r="E238" s="2" t="str">
        <f>IF(Crédito!A38="","",Crédito!D38)</f>
        <v/>
      </c>
      <c r="F238" s="5" t="str">
        <f>IF(Crédito!A38="","",Crédito!E38)</f>
        <v/>
      </c>
      <c r="G238" s="2" t="str">
        <f>IF(Crédito!A38="","",Crédito!H38)</f>
        <v/>
      </c>
      <c r="H238" s="2" t="str">
        <f>IF(Crédito!A38="","",Crédito!J38)</f>
        <v/>
      </c>
      <c r="I238" s="2" t="str">
        <f>IF(Crédito!A38="","",Crédito!I38)</f>
        <v/>
      </c>
    </row>
    <row r="239" spans="1:9" ht="16.5" customHeight="1">
      <c r="A239" s="2" t="str">
        <f>IF(Crédito!A39="","","Crédito")</f>
        <v/>
      </c>
      <c r="B239" s="4" t="str">
        <f>IF(Crédito!A39="","",Crédito!A39)</f>
        <v/>
      </c>
      <c r="C239" s="2" t="str">
        <f>IF(Crédito!A39="","",Crédito!B39)</f>
        <v/>
      </c>
      <c r="D239" s="2" t="str">
        <f>IF(Crédito!A39="","",Crédito!C39)</f>
        <v/>
      </c>
      <c r="E239" s="2" t="str">
        <f>IF(Crédito!A39="","",Crédito!D39)</f>
        <v/>
      </c>
      <c r="F239" s="5" t="str">
        <f>IF(Crédito!A39="","",Crédito!E39)</f>
        <v/>
      </c>
      <c r="G239" s="2" t="str">
        <f>IF(Crédito!A39="","",Crédito!H39)</f>
        <v/>
      </c>
      <c r="H239" s="2" t="str">
        <f>IF(Crédito!A39="","",Crédito!J39)</f>
        <v/>
      </c>
      <c r="I239" s="2" t="str">
        <f>IF(Crédito!A39="","",Crédito!I39)</f>
        <v/>
      </c>
    </row>
    <row r="240" spans="1:9" ht="16.5" customHeight="1">
      <c r="A240" s="2" t="str">
        <f>IF(Crédito!A40="","","Crédito")</f>
        <v/>
      </c>
      <c r="B240" s="4" t="str">
        <f>IF(Crédito!A40="","",Crédito!A40)</f>
        <v/>
      </c>
      <c r="C240" s="2" t="str">
        <f>IF(Crédito!A40="","",Crédito!B40)</f>
        <v/>
      </c>
      <c r="D240" s="2" t="str">
        <f>IF(Crédito!A40="","",Crédito!C40)</f>
        <v/>
      </c>
      <c r="E240" s="2" t="str">
        <f>IF(Crédito!A40="","",Crédito!D40)</f>
        <v/>
      </c>
      <c r="F240" s="5" t="str">
        <f>IF(Crédito!A40="","",Crédito!E40)</f>
        <v/>
      </c>
      <c r="G240" s="2" t="str">
        <f>IF(Crédito!A40="","",Crédito!H40)</f>
        <v/>
      </c>
      <c r="H240" s="2" t="str">
        <f>IF(Crédito!A40="","",Crédito!J40)</f>
        <v/>
      </c>
      <c r="I240" s="2" t="str">
        <f>IF(Crédito!A40="","",Crédito!I40)</f>
        <v/>
      </c>
    </row>
    <row r="241" spans="1:9" ht="16.5" customHeight="1">
      <c r="A241" s="2" t="str">
        <f>IF(Crédito!A41="","","Crédito")</f>
        <v/>
      </c>
      <c r="B241" s="4" t="str">
        <f>IF(Crédito!A41="","",Crédito!A41)</f>
        <v/>
      </c>
      <c r="C241" s="2" t="str">
        <f>IF(Crédito!A41="","",Crédito!B41)</f>
        <v/>
      </c>
      <c r="D241" s="2" t="str">
        <f>IF(Crédito!A41="","",Crédito!C41)</f>
        <v/>
      </c>
      <c r="E241" s="2" t="str">
        <f>IF(Crédito!A41="","",Crédito!D41)</f>
        <v/>
      </c>
      <c r="F241" s="5" t="str">
        <f>IF(Crédito!A41="","",Crédito!E41)</f>
        <v/>
      </c>
      <c r="G241" s="2" t="str">
        <f>IF(Crédito!A41="","",Crédito!H41)</f>
        <v/>
      </c>
      <c r="H241" s="2" t="str">
        <f>IF(Crédito!A41="","",Crédito!J41)</f>
        <v/>
      </c>
      <c r="I241" s="2" t="str">
        <f>IF(Crédito!A41="","",Crédito!I41)</f>
        <v/>
      </c>
    </row>
    <row r="242" spans="1:9" ht="16.5" customHeight="1">
      <c r="A242" s="2" t="str">
        <f>IF(Crédito!A42="","","Crédito")</f>
        <v/>
      </c>
      <c r="B242" s="4" t="str">
        <f>IF(Crédito!A42="","",Crédito!A42)</f>
        <v/>
      </c>
      <c r="C242" s="2" t="str">
        <f>IF(Crédito!A42="","",Crédito!B42)</f>
        <v/>
      </c>
      <c r="D242" s="2" t="str">
        <f>IF(Crédito!A42="","",Crédito!C42)</f>
        <v/>
      </c>
      <c r="E242" s="2" t="str">
        <f>IF(Crédito!A42="","",Crédito!D42)</f>
        <v/>
      </c>
      <c r="F242" s="5" t="str">
        <f>IF(Crédito!A42="","",Crédito!E42)</f>
        <v/>
      </c>
      <c r="G242" s="2" t="str">
        <f>IF(Crédito!A42="","",Crédito!H42)</f>
        <v/>
      </c>
      <c r="H242" s="2" t="str">
        <f>IF(Crédito!A42="","",Crédito!J42)</f>
        <v/>
      </c>
      <c r="I242" s="2" t="str">
        <f>IF(Crédito!A42="","",Crédito!I42)</f>
        <v/>
      </c>
    </row>
    <row r="243" spans="1:9" ht="16.5" customHeight="1">
      <c r="A243" s="2" t="str">
        <f>IF(Crédito!A43="","","Crédito")</f>
        <v/>
      </c>
      <c r="B243" s="4" t="str">
        <f>IF(Crédito!A43="","",Crédito!A43)</f>
        <v/>
      </c>
      <c r="C243" s="2" t="str">
        <f>IF(Crédito!A43="","",Crédito!B43)</f>
        <v/>
      </c>
      <c r="D243" s="2" t="str">
        <f>IF(Crédito!A43="","",Crédito!C43)</f>
        <v/>
      </c>
      <c r="E243" s="2" t="str">
        <f>IF(Crédito!A43="","",Crédito!D43)</f>
        <v/>
      </c>
      <c r="F243" s="5" t="str">
        <f>IF(Crédito!A43="","",Crédito!E43)</f>
        <v/>
      </c>
      <c r="G243" s="2" t="str">
        <f>IF(Crédito!A43="","",Crédito!H43)</f>
        <v/>
      </c>
      <c r="H243" s="2" t="str">
        <f>IF(Crédito!A43="","",Crédito!J43)</f>
        <v/>
      </c>
      <c r="I243" s="2" t="str">
        <f>IF(Crédito!A43="","",Crédito!I43)</f>
        <v/>
      </c>
    </row>
    <row r="244" spans="1:9" ht="16.5" customHeight="1">
      <c r="A244" s="2" t="str">
        <f>IF(Crédito!A44="","","Crédito")</f>
        <v/>
      </c>
      <c r="B244" s="4" t="str">
        <f>IF(Crédito!A44="","",Crédito!A44)</f>
        <v/>
      </c>
      <c r="C244" s="2" t="str">
        <f>IF(Crédito!A44="","",Crédito!B44)</f>
        <v/>
      </c>
      <c r="D244" s="2" t="str">
        <f>IF(Crédito!A44="","",Crédito!C44)</f>
        <v/>
      </c>
      <c r="E244" s="2" t="str">
        <f>IF(Crédito!A44="","",Crédito!D44)</f>
        <v/>
      </c>
      <c r="F244" s="5" t="str">
        <f>IF(Crédito!A44="","",Crédito!E44)</f>
        <v/>
      </c>
      <c r="G244" s="2" t="str">
        <f>IF(Crédito!A44="","",Crédito!H44)</f>
        <v/>
      </c>
      <c r="H244" s="2" t="str">
        <f>IF(Crédito!A44="","",Crédito!J44)</f>
        <v/>
      </c>
      <c r="I244" s="2" t="str">
        <f>IF(Crédito!A44="","",Crédito!I44)</f>
        <v/>
      </c>
    </row>
    <row r="245" spans="1:9" ht="16.5" customHeight="1">
      <c r="A245" s="2" t="str">
        <f>IF(Crédito!A45="","","Crédito")</f>
        <v/>
      </c>
      <c r="B245" s="4" t="str">
        <f>IF(Crédito!A45="","",Crédito!A45)</f>
        <v/>
      </c>
      <c r="C245" s="2" t="str">
        <f>IF(Crédito!A45="","",Crédito!B45)</f>
        <v/>
      </c>
      <c r="D245" s="2" t="str">
        <f>IF(Crédito!A45="","",Crédito!C45)</f>
        <v/>
      </c>
      <c r="E245" s="2" t="str">
        <f>IF(Crédito!A45="","",Crédito!D45)</f>
        <v/>
      </c>
      <c r="F245" s="5" t="str">
        <f>IF(Crédito!A45="","",Crédito!E45)</f>
        <v/>
      </c>
      <c r="G245" s="2" t="str">
        <f>IF(Crédito!A45="","",Crédito!H45)</f>
        <v/>
      </c>
      <c r="H245" s="2" t="str">
        <f>IF(Crédito!A45="","",Crédito!J45)</f>
        <v/>
      </c>
      <c r="I245" s="2" t="str">
        <f>IF(Crédito!A45="","",Crédito!I45)</f>
        <v/>
      </c>
    </row>
    <row r="246" spans="1:9" ht="16.5" customHeight="1">
      <c r="A246" s="2" t="str">
        <f>IF(Crédito!A46="","","Crédito")</f>
        <v/>
      </c>
      <c r="B246" s="4" t="str">
        <f>IF(Crédito!A46="","",Crédito!A46)</f>
        <v/>
      </c>
      <c r="C246" s="2" t="str">
        <f>IF(Crédito!A46="","",Crédito!B46)</f>
        <v/>
      </c>
      <c r="D246" s="2" t="str">
        <f>IF(Crédito!A46="","",Crédito!C46)</f>
        <v/>
      </c>
      <c r="E246" s="2" t="str">
        <f>IF(Crédito!A46="","",Crédito!D46)</f>
        <v/>
      </c>
      <c r="F246" s="5" t="str">
        <f>IF(Crédito!A46="","",Crédito!E46)</f>
        <v/>
      </c>
      <c r="G246" s="2" t="str">
        <f>IF(Crédito!A46="","",Crédito!H46)</f>
        <v/>
      </c>
      <c r="H246" s="2" t="str">
        <f>IF(Crédito!A46="","",Crédito!J46)</f>
        <v/>
      </c>
      <c r="I246" s="2" t="str">
        <f>IF(Crédito!A46="","",Crédito!I46)</f>
        <v/>
      </c>
    </row>
    <row r="247" spans="1:9" ht="16.5" customHeight="1">
      <c r="A247" s="2" t="str">
        <f>IF(Crédito!A47="","","Crédito")</f>
        <v/>
      </c>
      <c r="B247" s="4" t="str">
        <f>IF(Crédito!A47="","",Crédito!A47)</f>
        <v/>
      </c>
      <c r="C247" s="2" t="str">
        <f>IF(Crédito!A47="","",Crédito!B47)</f>
        <v/>
      </c>
      <c r="D247" s="2" t="str">
        <f>IF(Crédito!A47="","",Crédito!C47)</f>
        <v/>
      </c>
      <c r="E247" s="2" t="str">
        <f>IF(Crédito!A47="","",Crédito!D47)</f>
        <v/>
      </c>
      <c r="F247" s="5" t="str">
        <f>IF(Crédito!A47="","",Crédito!E47)</f>
        <v/>
      </c>
      <c r="G247" s="2" t="str">
        <f>IF(Crédito!A47="","",Crédito!H47)</f>
        <v/>
      </c>
      <c r="H247" s="2" t="str">
        <f>IF(Crédito!A47="","",Crédito!J47)</f>
        <v/>
      </c>
      <c r="I247" s="2" t="str">
        <f>IF(Crédito!A47="","",Crédito!I47)</f>
        <v/>
      </c>
    </row>
    <row r="248" spans="1:9" ht="16.5" customHeight="1">
      <c r="A248" s="2" t="str">
        <f>IF(Crédito!A48="","","Crédito")</f>
        <v/>
      </c>
      <c r="B248" s="4" t="str">
        <f>IF(Crédito!A48="","",Crédito!A48)</f>
        <v/>
      </c>
      <c r="C248" s="2" t="str">
        <f>IF(Crédito!A48="","",Crédito!B48)</f>
        <v/>
      </c>
      <c r="D248" s="2" t="str">
        <f>IF(Crédito!A48="","",Crédito!C48)</f>
        <v/>
      </c>
      <c r="E248" s="2" t="str">
        <f>IF(Crédito!A48="","",Crédito!D48)</f>
        <v/>
      </c>
      <c r="F248" s="5" t="str">
        <f>IF(Crédito!A48="","",Crédito!E48)</f>
        <v/>
      </c>
      <c r="G248" s="2" t="str">
        <f>IF(Crédito!A48="","",Crédito!H48)</f>
        <v/>
      </c>
      <c r="H248" s="2" t="str">
        <f>IF(Crédito!A48="","",Crédito!J48)</f>
        <v/>
      </c>
      <c r="I248" s="2" t="str">
        <f>IF(Crédito!A48="","",Crédito!I48)</f>
        <v/>
      </c>
    </row>
    <row r="249" spans="1:9" ht="16.5" customHeight="1">
      <c r="A249" s="2" t="str">
        <f>IF(Crédito!A49="","","Crédito")</f>
        <v/>
      </c>
      <c r="B249" s="4" t="str">
        <f>IF(Crédito!A49="","",Crédito!A49)</f>
        <v/>
      </c>
      <c r="C249" s="2" t="str">
        <f>IF(Crédito!A49="","",Crédito!B49)</f>
        <v/>
      </c>
      <c r="D249" s="2" t="str">
        <f>IF(Crédito!A49="","",Crédito!C49)</f>
        <v/>
      </c>
      <c r="E249" s="2" t="str">
        <f>IF(Crédito!A49="","",Crédito!D49)</f>
        <v/>
      </c>
      <c r="F249" s="5" t="str">
        <f>IF(Crédito!A49="","",Crédito!E49)</f>
        <v/>
      </c>
      <c r="G249" s="2" t="str">
        <f>IF(Crédito!A49="","",Crédito!H49)</f>
        <v/>
      </c>
      <c r="H249" s="2" t="str">
        <f>IF(Crédito!A49="","",Crédito!J49)</f>
        <v/>
      </c>
      <c r="I249" s="2" t="str">
        <f>IF(Crédito!A49="","",Crédito!I49)</f>
        <v/>
      </c>
    </row>
    <row r="250" spans="1:9" ht="16.5" customHeight="1">
      <c r="A250" s="2" t="str">
        <f>IF(Crédito!A50="","","Crédito")</f>
        <v/>
      </c>
      <c r="B250" s="4" t="str">
        <f>IF(Crédito!A50="","",Crédito!A50)</f>
        <v/>
      </c>
      <c r="C250" s="2" t="str">
        <f>IF(Crédito!A50="","",Crédito!B50)</f>
        <v/>
      </c>
      <c r="D250" s="2" t="str">
        <f>IF(Crédito!A50="","",Crédito!C50)</f>
        <v/>
      </c>
      <c r="E250" s="2" t="str">
        <f>IF(Crédito!A50="","",Crédito!D50)</f>
        <v/>
      </c>
      <c r="F250" s="5" t="str">
        <f>IF(Crédito!A50="","",Crédito!E50)</f>
        <v/>
      </c>
      <c r="G250" s="2" t="str">
        <f>IF(Crédito!A50="","",Crédito!H50)</f>
        <v/>
      </c>
      <c r="H250" s="2" t="str">
        <f>IF(Crédito!A50="","",Crédito!J50)</f>
        <v/>
      </c>
      <c r="I250" s="2" t="str">
        <f>IF(Crédito!A50="","",Crédito!I50)</f>
        <v/>
      </c>
    </row>
    <row r="251" spans="1:9" ht="16.5" customHeight="1">
      <c r="A251" s="2" t="str">
        <f>IF(Crédito!A51="","","Crédito")</f>
        <v/>
      </c>
      <c r="B251" s="4" t="str">
        <f>IF(Crédito!A51="","",Crédito!A51)</f>
        <v/>
      </c>
      <c r="C251" s="2" t="str">
        <f>IF(Crédito!A51="","",Crédito!B51)</f>
        <v/>
      </c>
      <c r="D251" s="2" t="str">
        <f>IF(Crédito!A51="","",Crédito!C51)</f>
        <v/>
      </c>
      <c r="E251" s="2" t="str">
        <f>IF(Crédito!A51="","",Crédito!D51)</f>
        <v/>
      </c>
      <c r="F251" s="5" t="str">
        <f>IF(Crédito!A51="","",Crédito!E51)</f>
        <v/>
      </c>
      <c r="G251" s="2" t="str">
        <f>IF(Crédito!A51="","",Crédito!H51)</f>
        <v/>
      </c>
      <c r="H251" s="2" t="str">
        <f>IF(Crédito!A51="","",Crédito!J51)</f>
        <v/>
      </c>
      <c r="I251" s="2" t="str">
        <f>IF(Crédito!A51="","",Crédito!I51)</f>
        <v/>
      </c>
    </row>
    <row r="252" spans="1:9" ht="16.5" customHeight="1">
      <c r="A252" s="2" t="str">
        <f>IF(Crédito!A52="","","Crédito")</f>
        <v/>
      </c>
      <c r="B252" s="4" t="str">
        <f>IF(Crédito!A52="","",Crédito!A52)</f>
        <v/>
      </c>
      <c r="C252" s="2" t="str">
        <f>IF(Crédito!A52="","",Crédito!B52)</f>
        <v/>
      </c>
      <c r="D252" s="2" t="str">
        <f>IF(Crédito!A52="","",Crédito!C52)</f>
        <v/>
      </c>
      <c r="E252" s="2" t="str">
        <f>IF(Crédito!A52="","",Crédito!D52)</f>
        <v/>
      </c>
      <c r="F252" s="5" t="str">
        <f>IF(Crédito!A52="","",Crédito!E52)</f>
        <v/>
      </c>
      <c r="G252" s="2" t="str">
        <f>IF(Crédito!A52="","",Crédito!H52)</f>
        <v/>
      </c>
      <c r="H252" s="2" t="str">
        <f>IF(Crédito!A52="","",Crédito!J52)</f>
        <v/>
      </c>
      <c r="I252" s="2" t="str">
        <f>IF(Crédito!A52="","",Crédito!I52)</f>
        <v/>
      </c>
    </row>
    <row r="253" spans="1:9" ht="16.5" customHeight="1">
      <c r="A253" s="2" t="str">
        <f>IF(Crédito!A53="","","Crédito")</f>
        <v/>
      </c>
      <c r="B253" s="4" t="str">
        <f>IF(Crédito!A53="","",Crédito!A53)</f>
        <v/>
      </c>
      <c r="C253" s="2" t="str">
        <f>IF(Crédito!A53="","",Crédito!B53)</f>
        <v/>
      </c>
      <c r="D253" s="2" t="str">
        <f>IF(Crédito!A53="","",Crédito!C53)</f>
        <v/>
      </c>
      <c r="E253" s="2" t="str">
        <f>IF(Crédito!A53="","",Crédito!D53)</f>
        <v/>
      </c>
      <c r="F253" s="5" t="str">
        <f>IF(Crédito!A53="","",Crédito!E53)</f>
        <v/>
      </c>
      <c r="G253" s="2" t="str">
        <f>IF(Crédito!A53="","",Crédito!H53)</f>
        <v/>
      </c>
      <c r="H253" s="2" t="str">
        <f>IF(Crédito!A53="","",Crédito!J53)</f>
        <v/>
      </c>
      <c r="I253" s="2" t="str">
        <f>IF(Crédito!A53="","",Crédito!I53)</f>
        <v/>
      </c>
    </row>
    <row r="254" spans="1:9" ht="16.5" customHeight="1">
      <c r="A254" s="2" t="str">
        <f>IF(Crédito!A54="","","Crédito")</f>
        <v/>
      </c>
      <c r="B254" s="4" t="str">
        <f>IF(Crédito!A54="","",Crédito!A54)</f>
        <v/>
      </c>
      <c r="C254" s="2" t="str">
        <f>IF(Crédito!A54="","",Crédito!B54)</f>
        <v/>
      </c>
      <c r="D254" s="2" t="str">
        <f>IF(Crédito!A54="","",Crédito!C54)</f>
        <v/>
      </c>
      <c r="E254" s="2" t="str">
        <f>IF(Crédito!A54="","",Crédito!D54)</f>
        <v/>
      </c>
      <c r="F254" s="5" t="str">
        <f>IF(Crédito!A54="","",Crédito!E54)</f>
        <v/>
      </c>
      <c r="G254" s="2" t="str">
        <f>IF(Crédito!A54="","",Crédito!H54)</f>
        <v/>
      </c>
      <c r="H254" s="2" t="str">
        <f>IF(Crédito!A54="","",Crédito!J54)</f>
        <v/>
      </c>
      <c r="I254" s="2" t="str">
        <f>IF(Crédito!A54="","",Crédito!I54)</f>
        <v/>
      </c>
    </row>
    <row r="255" spans="1:9" ht="16.5" customHeight="1">
      <c r="A255" s="2" t="str">
        <f>IF(Crédito!A55="","","Crédito")</f>
        <v/>
      </c>
      <c r="B255" s="4" t="str">
        <f>IF(Crédito!A55="","",Crédito!A55)</f>
        <v/>
      </c>
      <c r="C255" s="2" t="str">
        <f>IF(Crédito!A55="","",Crédito!B55)</f>
        <v/>
      </c>
      <c r="D255" s="2" t="str">
        <f>IF(Crédito!A55="","",Crédito!C55)</f>
        <v/>
      </c>
      <c r="E255" s="2" t="str">
        <f>IF(Crédito!A55="","",Crédito!D55)</f>
        <v/>
      </c>
      <c r="F255" s="5" t="str">
        <f>IF(Crédito!A55="","",Crédito!E55)</f>
        <v/>
      </c>
      <c r="G255" s="2" t="str">
        <f>IF(Crédito!A55="","",Crédito!H55)</f>
        <v/>
      </c>
      <c r="H255" s="2" t="str">
        <f>IF(Crédito!A55="","",Crédito!J55)</f>
        <v/>
      </c>
      <c r="I255" s="2" t="str">
        <f>IF(Crédito!A55="","",Crédito!I55)</f>
        <v/>
      </c>
    </row>
    <row r="256" spans="1:9" ht="16.5" customHeight="1">
      <c r="A256" s="2" t="str">
        <f>IF(Crédito!A56="","","Crédito")</f>
        <v/>
      </c>
      <c r="B256" s="4" t="str">
        <f>IF(Crédito!A56="","",Crédito!A56)</f>
        <v/>
      </c>
      <c r="C256" s="2" t="str">
        <f>IF(Crédito!A56="","",Crédito!B56)</f>
        <v/>
      </c>
      <c r="D256" s="2" t="str">
        <f>IF(Crédito!A56="","",Crédito!C56)</f>
        <v/>
      </c>
      <c r="E256" s="2" t="str">
        <f>IF(Crédito!A56="","",Crédito!D56)</f>
        <v/>
      </c>
      <c r="F256" s="5" t="str">
        <f>IF(Crédito!A56="","",Crédito!E56)</f>
        <v/>
      </c>
      <c r="G256" s="2" t="str">
        <f>IF(Crédito!A56="","",Crédito!H56)</f>
        <v/>
      </c>
      <c r="H256" s="2" t="str">
        <f>IF(Crédito!A56="","",Crédito!J56)</f>
        <v/>
      </c>
      <c r="I256" s="2" t="str">
        <f>IF(Crédito!A56="","",Crédito!I56)</f>
        <v/>
      </c>
    </row>
    <row r="257" spans="1:9" ht="16.5" customHeight="1">
      <c r="A257" s="2" t="str">
        <f>IF(Crédito!A57="","","Crédito")</f>
        <v/>
      </c>
      <c r="B257" s="4" t="str">
        <f>IF(Crédito!A57="","",Crédito!A57)</f>
        <v/>
      </c>
      <c r="C257" s="2" t="str">
        <f>IF(Crédito!A57="","",Crédito!B57)</f>
        <v/>
      </c>
      <c r="D257" s="2" t="str">
        <f>IF(Crédito!A57="","",Crédito!C57)</f>
        <v/>
      </c>
      <c r="E257" s="2" t="str">
        <f>IF(Crédito!A57="","",Crédito!D57)</f>
        <v/>
      </c>
      <c r="F257" s="5" t="str">
        <f>IF(Crédito!A57="","",Crédito!E57)</f>
        <v/>
      </c>
      <c r="G257" s="2" t="str">
        <f>IF(Crédito!A57="","",Crédito!H57)</f>
        <v/>
      </c>
      <c r="H257" s="2" t="str">
        <f>IF(Crédito!A57="","",Crédito!J57)</f>
        <v/>
      </c>
      <c r="I257" s="2" t="str">
        <f>IF(Crédito!A57="","",Crédito!I57)</f>
        <v/>
      </c>
    </row>
    <row r="258" spans="1:9" ht="16.5" customHeight="1">
      <c r="A258" s="2" t="str">
        <f>IF(Crédito!A58="","","Crédito")</f>
        <v/>
      </c>
      <c r="B258" s="4" t="str">
        <f>IF(Crédito!A58="","",Crédito!A58)</f>
        <v/>
      </c>
      <c r="C258" s="2" t="str">
        <f>IF(Crédito!A58="","",Crédito!B58)</f>
        <v/>
      </c>
      <c r="D258" s="2" t="str">
        <f>IF(Crédito!A58="","",Crédito!C58)</f>
        <v/>
      </c>
      <c r="E258" s="2" t="str">
        <f>IF(Crédito!A58="","",Crédito!D58)</f>
        <v/>
      </c>
      <c r="F258" s="5" t="str">
        <f>IF(Crédito!A58="","",Crédito!E58)</f>
        <v/>
      </c>
      <c r="G258" s="2" t="str">
        <f>IF(Crédito!A58="","",Crédito!H58)</f>
        <v/>
      </c>
      <c r="H258" s="2" t="str">
        <f>IF(Crédito!A58="","",Crédito!J58)</f>
        <v/>
      </c>
      <c r="I258" s="2" t="str">
        <f>IF(Crédito!A58="","",Crédito!I58)</f>
        <v/>
      </c>
    </row>
    <row r="259" spans="1:9" ht="16.5" customHeight="1">
      <c r="A259" s="2" t="str">
        <f>IF(Crédito!A59="","","Crédito")</f>
        <v/>
      </c>
      <c r="B259" s="4" t="str">
        <f>IF(Crédito!A59="","",Crédito!A59)</f>
        <v/>
      </c>
      <c r="C259" s="2" t="str">
        <f>IF(Crédito!A59="","",Crédito!B59)</f>
        <v/>
      </c>
      <c r="D259" s="2" t="str">
        <f>IF(Crédito!A59="","",Crédito!C59)</f>
        <v/>
      </c>
      <c r="E259" s="2" t="str">
        <f>IF(Crédito!A59="","",Crédito!D59)</f>
        <v/>
      </c>
      <c r="F259" s="5" t="str">
        <f>IF(Crédito!A59="","",Crédito!E59)</f>
        <v/>
      </c>
      <c r="G259" s="2" t="str">
        <f>IF(Crédito!A59="","",Crédito!H59)</f>
        <v/>
      </c>
      <c r="H259" s="2" t="str">
        <f>IF(Crédito!A59="","",Crédito!J59)</f>
        <v/>
      </c>
      <c r="I259" s="2" t="str">
        <f>IF(Crédito!A59="","",Crédito!I59)</f>
        <v/>
      </c>
    </row>
    <row r="260" spans="1:9" ht="16.5" customHeight="1">
      <c r="A260" s="2" t="str">
        <f>IF(Crédito!A60="","","Crédito")</f>
        <v/>
      </c>
      <c r="B260" s="4" t="str">
        <f>IF(Crédito!A60="","",Crédito!A60)</f>
        <v/>
      </c>
      <c r="C260" s="2" t="str">
        <f>IF(Crédito!A60="","",Crédito!B60)</f>
        <v/>
      </c>
      <c r="D260" s="2" t="str">
        <f>IF(Crédito!A60="","",Crédito!C60)</f>
        <v/>
      </c>
      <c r="E260" s="2" t="str">
        <f>IF(Crédito!A60="","",Crédito!D60)</f>
        <v/>
      </c>
      <c r="F260" s="5" t="str">
        <f>IF(Crédito!A60="","",Crédito!E60)</f>
        <v/>
      </c>
      <c r="G260" s="2" t="str">
        <f>IF(Crédito!A60="","",Crédito!H60)</f>
        <v/>
      </c>
      <c r="H260" s="2" t="str">
        <f>IF(Crédito!A60="","",Crédito!J60)</f>
        <v/>
      </c>
      <c r="I260" s="2" t="str">
        <f>IF(Crédito!A60="","",Crédito!I60)</f>
        <v/>
      </c>
    </row>
    <row r="261" spans="1:9" ht="16.5" customHeight="1">
      <c r="A261" s="2" t="str">
        <f>IF(Crédito!A61="","","Crédito")</f>
        <v/>
      </c>
      <c r="B261" s="4" t="str">
        <f>IF(Crédito!A61="","",Crédito!A61)</f>
        <v/>
      </c>
      <c r="C261" s="2" t="str">
        <f>IF(Crédito!A61="","",Crédito!B61)</f>
        <v/>
      </c>
      <c r="D261" s="2" t="str">
        <f>IF(Crédito!A61="","",Crédito!C61)</f>
        <v/>
      </c>
      <c r="E261" s="2" t="str">
        <f>IF(Crédito!A61="","",Crédito!D61)</f>
        <v/>
      </c>
      <c r="F261" s="5" t="str">
        <f>IF(Crédito!A61="","",Crédito!E61)</f>
        <v/>
      </c>
      <c r="G261" s="2" t="str">
        <f>IF(Crédito!A61="","",Crédito!H61)</f>
        <v/>
      </c>
      <c r="H261" s="2" t="str">
        <f>IF(Crédito!A61="","",Crédito!J61)</f>
        <v/>
      </c>
      <c r="I261" s="2" t="str">
        <f>IF(Crédito!A61="","",Crédito!I61)</f>
        <v/>
      </c>
    </row>
    <row r="262" spans="1:9" ht="16.5" customHeight="1">
      <c r="A262" s="2" t="str">
        <f>IF(Crédito!A62="","","Crédito")</f>
        <v/>
      </c>
      <c r="B262" s="4" t="str">
        <f>IF(Crédito!A62="","",Crédito!A62)</f>
        <v/>
      </c>
      <c r="C262" s="2" t="str">
        <f>IF(Crédito!A62="","",Crédito!B62)</f>
        <v/>
      </c>
      <c r="D262" s="2" t="str">
        <f>IF(Crédito!A62="","",Crédito!C62)</f>
        <v/>
      </c>
      <c r="E262" s="2" t="str">
        <f>IF(Crédito!A62="","",Crédito!D62)</f>
        <v/>
      </c>
      <c r="F262" s="5" t="str">
        <f>IF(Crédito!A62="","",Crédito!E62)</f>
        <v/>
      </c>
      <c r="G262" s="2" t="str">
        <f>IF(Crédito!A62="","",Crédito!H62)</f>
        <v/>
      </c>
      <c r="H262" s="2" t="str">
        <f>IF(Crédito!A62="","",Crédito!J62)</f>
        <v/>
      </c>
      <c r="I262" s="2" t="str">
        <f>IF(Crédito!A62="","",Crédito!I62)</f>
        <v/>
      </c>
    </row>
    <row r="263" spans="1:9" ht="16.5" customHeight="1">
      <c r="A263" s="2" t="str">
        <f>IF(Crédito!A63="","","Crédito")</f>
        <v/>
      </c>
      <c r="B263" s="4" t="str">
        <f>IF(Crédito!A63="","",Crédito!A63)</f>
        <v/>
      </c>
      <c r="C263" s="2" t="str">
        <f>IF(Crédito!A63="","",Crédito!B63)</f>
        <v/>
      </c>
      <c r="D263" s="2" t="str">
        <f>IF(Crédito!A63="","",Crédito!C63)</f>
        <v/>
      </c>
      <c r="E263" s="2" t="str">
        <f>IF(Crédito!A63="","",Crédito!D63)</f>
        <v/>
      </c>
      <c r="F263" s="5" t="str">
        <f>IF(Crédito!A63="","",Crédito!E63)</f>
        <v/>
      </c>
      <c r="G263" s="2" t="str">
        <f>IF(Crédito!A63="","",Crédito!H63)</f>
        <v/>
      </c>
      <c r="H263" s="2" t="str">
        <f>IF(Crédito!A63="","",Crédito!J63)</f>
        <v/>
      </c>
      <c r="I263" s="2" t="str">
        <f>IF(Crédito!A63="","",Crédito!I63)</f>
        <v/>
      </c>
    </row>
    <row r="264" spans="1:9" ht="16.5" customHeight="1">
      <c r="A264" s="2" t="str">
        <f>IF(Crédito!A64="","","Crédito")</f>
        <v/>
      </c>
      <c r="B264" s="4" t="str">
        <f>IF(Crédito!A64="","",Crédito!A64)</f>
        <v/>
      </c>
      <c r="C264" s="2" t="str">
        <f>IF(Crédito!A64="","",Crédito!B64)</f>
        <v/>
      </c>
      <c r="D264" s="2" t="str">
        <f>IF(Crédito!A64="","",Crédito!C64)</f>
        <v/>
      </c>
      <c r="E264" s="2" t="str">
        <f>IF(Crédito!A64="","",Crédito!D64)</f>
        <v/>
      </c>
      <c r="F264" s="5" t="str">
        <f>IF(Crédito!A64="","",Crédito!E64)</f>
        <v/>
      </c>
      <c r="G264" s="2" t="str">
        <f>IF(Crédito!A64="","",Crédito!H64)</f>
        <v/>
      </c>
      <c r="H264" s="2" t="str">
        <f>IF(Crédito!A64="","",Crédito!J64)</f>
        <v/>
      </c>
      <c r="I264" s="2" t="str">
        <f>IF(Crédito!A64="","",Crédito!I64)</f>
        <v/>
      </c>
    </row>
    <row r="265" spans="1:9" ht="16.5" customHeight="1">
      <c r="A265" s="2" t="str">
        <f>IF(Crédito!A65="","","Crédito")</f>
        <v/>
      </c>
      <c r="B265" s="4" t="str">
        <f>IF(Crédito!A65="","",Crédito!A65)</f>
        <v/>
      </c>
      <c r="C265" s="2" t="str">
        <f>IF(Crédito!A65="","",Crédito!B65)</f>
        <v/>
      </c>
      <c r="D265" s="2" t="str">
        <f>IF(Crédito!A65="","",Crédito!C65)</f>
        <v/>
      </c>
      <c r="E265" s="2" t="str">
        <f>IF(Crédito!A65="","",Crédito!D65)</f>
        <v/>
      </c>
      <c r="F265" s="5" t="str">
        <f>IF(Crédito!A65="","",Crédito!E65)</f>
        <v/>
      </c>
      <c r="G265" s="2" t="str">
        <f>IF(Crédito!A65="","",Crédito!H65)</f>
        <v/>
      </c>
      <c r="H265" s="2" t="str">
        <f>IF(Crédito!A65="","",Crédito!J65)</f>
        <v/>
      </c>
      <c r="I265" s="2" t="str">
        <f>IF(Crédito!A65="","",Crédito!I65)</f>
        <v/>
      </c>
    </row>
    <row r="266" spans="1:9" ht="16.5" customHeight="1">
      <c r="A266" s="2" t="str">
        <f>IF(Crédito!A66="","","Crédito")</f>
        <v/>
      </c>
      <c r="B266" s="4" t="str">
        <f>IF(Crédito!A66="","",Crédito!A66)</f>
        <v/>
      </c>
      <c r="C266" s="2" t="str">
        <f>IF(Crédito!A66="","",Crédito!B66)</f>
        <v/>
      </c>
      <c r="D266" s="2" t="str">
        <f>IF(Crédito!A66="","",Crédito!C66)</f>
        <v/>
      </c>
      <c r="E266" s="2" t="str">
        <f>IF(Crédito!A66="","",Crédito!D66)</f>
        <v/>
      </c>
      <c r="F266" s="5" t="str">
        <f>IF(Crédito!A66="","",Crédito!E66)</f>
        <v/>
      </c>
      <c r="G266" s="2" t="str">
        <f>IF(Crédito!A66="","",Crédito!H66)</f>
        <v/>
      </c>
      <c r="H266" s="2" t="str">
        <f>IF(Crédito!A66="","",Crédito!J66)</f>
        <v/>
      </c>
      <c r="I266" s="2" t="str">
        <f>IF(Crédito!A66="","",Crédito!I66)</f>
        <v/>
      </c>
    </row>
    <row r="267" spans="1:9" ht="16.5" customHeight="1">
      <c r="A267" s="2" t="str">
        <f>IF(Crédito!A67="","","Crédito")</f>
        <v/>
      </c>
      <c r="B267" s="4" t="str">
        <f>IF(Crédito!A67="","",Crédito!A67)</f>
        <v/>
      </c>
      <c r="C267" s="2" t="str">
        <f>IF(Crédito!A67="","",Crédito!B67)</f>
        <v/>
      </c>
      <c r="D267" s="2" t="str">
        <f>IF(Crédito!A67="","",Crédito!C67)</f>
        <v/>
      </c>
      <c r="E267" s="2" t="str">
        <f>IF(Crédito!A67="","",Crédito!D67)</f>
        <v/>
      </c>
      <c r="F267" s="5" t="str">
        <f>IF(Crédito!A67="","",Crédito!E67)</f>
        <v/>
      </c>
      <c r="G267" s="2" t="str">
        <f>IF(Crédito!A67="","",Crédito!H67)</f>
        <v/>
      </c>
      <c r="H267" s="2" t="str">
        <f>IF(Crédito!A67="","",Crédito!J67)</f>
        <v/>
      </c>
      <c r="I267" s="2" t="str">
        <f>IF(Crédito!A67="","",Crédito!I67)</f>
        <v/>
      </c>
    </row>
    <row r="268" spans="1:9" ht="16.5" customHeight="1">
      <c r="A268" s="2" t="str">
        <f>IF(Crédito!A68="","","Crédito")</f>
        <v/>
      </c>
      <c r="B268" s="4" t="str">
        <f>IF(Crédito!A68="","",Crédito!A68)</f>
        <v/>
      </c>
      <c r="C268" s="2" t="str">
        <f>IF(Crédito!A68="","",Crédito!B68)</f>
        <v/>
      </c>
      <c r="D268" s="2" t="str">
        <f>IF(Crédito!A68="","",Crédito!C68)</f>
        <v/>
      </c>
      <c r="E268" s="2" t="str">
        <f>IF(Crédito!A68="","",Crédito!D68)</f>
        <v/>
      </c>
      <c r="F268" s="5" t="str">
        <f>IF(Crédito!A68="","",Crédito!E68)</f>
        <v/>
      </c>
      <c r="G268" s="2" t="str">
        <f>IF(Crédito!A68="","",Crédito!H68)</f>
        <v/>
      </c>
      <c r="H268" s="2" t="str">
        <f>IF(Crédito!A68="","",Crédito!J68)</f>
        <v/>
      </c>
      <c r="I268" s="2" t="str">
        <f>IF(Crédito!A68="","",Crédito!I68)</f>
        <v/>
      </c>
    </row>
    <row r="269" spans="1:9" ht="16.5" customHeight="1">
      <c r="A269" s="2" t="str">
        <f>IF(Crédito!A69="","","Crédito")</f>
        <v/>
      </c>
      <c r="B269" s="4" t="str">
        <f>IF(Crédito!A69="","",Crédito!A69)</f>
        <v/>
      </c>
      <c r="C269" s="2" t="str">
        <f>IF(Crédito!A69="","",Crédito!B69)</f>
        <v/>
      </c>
      <c r="D269" s="2" t="str">
        <f>IF(Crédito!A69="","",Crédito!C69)</f>
        <v/>
      </c>
      <c r="E269" s="2" t="str">
        <f>IF(Crédito!A69="","",Crédito!D69)</f>
        <v/>
      </c>
      <c r="F269" s="5" t="str">
        <f>IF(Crédito!A69="","",Crédito!E69)</f>
        <v/>
      </c>
      <c r="G269" s="2" t="str">
        <f>IF(Crédito!A69="","",Crédito!H69)</f>
        <v/>
      </c>
      <c r="H269" s="2" t="str">
        <f>IF(Crédito!A69="","",Crédito!J69)</f>
        <v/>
      </c>
      <c r="I269" s="2" t="str">
        <f>IF(Crédito!A69="","",Crédito!I69)</f>
        <v/>
      </c>
    </row>
    <row r="270" spans="1:9" ht="16.5" customHeight="1">
      <c r="A270" s="2" t="str">
        <f>IF(Crédito!A70="","","Crédito")</f>
        <v/>
      </c>
      <c r="B270" s="4" t="str">
        <f>IF(Crédito!A70="","",Crédito!A70)</f>
        <v/>
      </c>
      <c r="C270" s="2" t="str">
        <f>IF(Crédito!A70="","",Crédito!B70)</f>
        <v/>
      </c>
      <c r="D270" s="2" t="str">
        <f>IF(Crédito!A70="","",Crédito!C70)</f>
        <v/>
      </c>
      <c r="E270" s="2" t="str">
        <f>IF(Crédito!A70="","",Crédito!D70)</f>
        <v/>
      </c>
      <c r="F270" s="5" t="str">
        <f>IF(Crédito!A70="","",Crédito!E70)</f>
        <v/>
      </c>
      <c r="G270" s="2" t="str">
        <f>IF(Crédito!A70="","",Crédito!H70)</f>
        <v/>
      </c>
      <c r="H270" s="2" t="str">
        <f>IF(Crédito!A70="","",Crédito!J70)</f>
        <v/>
      </c>
      <c r="I270" s="2" t="str">
        <f>IF(Crédito!A70="","",Crédito!I70)</f>
        <v/>
      </c>
    </row>
    <row r="271" spans="1:9" ht="16.5" customHeight="1">
      <c r="A271" s="2" t="str">
        <f>IF(Crédito!A71="","","Crédito")</f>
        <v/>
      </c>
      <c r="B271" s="4" t="str">
        <f>IF(Crédito!A71="","",Crédito!A71)</f>
        <v/>
      </c>
      <c r="C271" s="2" t="str">
        <f>IF(Crédito!A71="","",Crédito!B71)</f>
        <v/>
      </c>
      <c r="D271" s="2" t="str">
        <f>IF(Crédito!A71="","",Crédito!C71)</f>
        <v/>
      </c>
      <c r="E271" s="2" t="str">
        <f>IF(Crédito!A71="","",Crédito!D71)</f>
        <v/>
      </c>
      <c r="F271" s="5" t="str">
        <f>IF(Crédito!A71="","",Crédito!E71)</f>
        <v/>
      </c>
      <c r="G271" s="2" t="str">
        <f>IF(Crédito!A71="","",Crédito!H71)</f>
        <v/>
      </c>
      <c r="H271" s="2" t="str">
        <f>IF(Crédito!A71="","",Crédito!J71)</f>
        <v/>
      </c>
      <c r="I271" s="2" t="str">
        <f>IF(Crédito!A71="","",Crédito!I71)</f>
        <v/>
      </c>
    </row>
    <row r="272" spans="1:9" ht="16.5" customHeight="1">
      <c r="A272" s="2" t="str">
        <f>IF(Crédito!A72="","","Crédito")</f>
        <v/>
      </c>
      <c r="B272" s="4" t="str">
        <f>IF(Crédito!A72="","",Crédito!A72)</f>
        <v/>
      </c>
      <c r="C272" s="2" t="str">
        <f>IF(Crédito!A72="","",Crédito!B72)</f>
        <v/>
      </c>
      <c r="D272" s="2" t="str">
        <f>IF(Crédito!A72="","",Crédito!C72)</f>
        <v/>
      </c>
      <c r="E272" s="2" t="str">
        <f>IF(Crédito!A72="","",Crédito!D72)</f>
        <v/>
      </c>
      <c r="F272" s="5" t="str">
        <f>IF(Crédito!A72="","",Crédito!E72)</f>
        <v/>
      </c>
      <c r="G272" s="2" t="str">
        <f>IF(Crédito!A72="","",Crédito!H72)</f>
        <v/>
      </c>
      <c r="H272" s="2" t="str">
        <f>IF(Crédito!A72="","",Crédito!J72)</f>
        <v/>
      </c>
      <c r="I272" s="2" t="str">
        <f>IF(Crédito!A72="","",Crédito!I72)</f>
        <v/>
      </c>
    </row>
    <row r="273" spans="1:9" ht="16.5" customHeight="1">
      <c r="A273" s="2" t="str">
        <f>IF(Crédito!A73="","","Crédito")</f>
        <v/>
      </c>
      <c r="B273" s="4" t="str">
        <f>IF(Crédito!A73="","",Crédito!A73)</f>
        <v/>
      </c>
      <c r="C273" s="2" t="str">
        <f>IF(Crédito!A73="","",Crédito!B73)</f>
        <v/>
      </c>
      <c r="D273" s="2" t="str">
        <f>IF(Crédito!A73="","",Crédito!C73)</f>
        <v/>
      </c>
      <c r="E273" s="2" t="str">
        <f>IF(Crédito!A73="","",Crédito!D73)</f>
        <v/>
      </c>
      <c r="F273" s="5" t="str">
        <f>IF(Crédito!A73="","",Crédito!E73)</f>
        <v/>
      </c>
      <c r="G273" s="2" t="str">
        <f>IF(Crédito!A73="","",Crédito!H73)</f>
        <v/>
      </c>
      <c r="H273" s="2" t="str">
        <f>IF(Crédito!A73="","",Crédito!J73)</f>
        <v/>
      </c>
      <c r="I273" s="2" t="str">
        <f>IF(Crédito!A73="","",Crédito!I73)</f>
        <v/>
      </c>
    </row>
    <row r="274" spans="1:9" ht="16.5" customHeight="1">
      <c r="A274" s="2" t="str">
        <f>IF(Crédito!A74="","","Crédito")</f>
        <v/>
      </c>
      <c r="B274" s="4" t="str">
        <f>IF(Crédito!A74="","",Crédito!A74)</f>
        <v/>
      </c>
      <c r="C274" s="2" t="str">
        <f>IF(Crédito!A74="","",Crédito!B74)</f>
        <v/>
      </c>
      <c r="D274" s="2" t="str">
        <f>IF(Crédito!A74="","",Crédito!C74)</f>
        <v/>
      </c>
      <c r="E274" s="2" t="str">
        <f>IF(Crédito!A74="","",Crédito!D74)</f>
        <v/>
      </c>
      <c r="F274" s="5" t="str">
        <f>IF(Crédito!A74="","",Crédito!E74)</f>
        <v/>
      </c>
      <c r="G274" s="2" t="str">
        <f>IF(Crédito!A74="","",Crédito!H74)</f>
        <v/>
      </c>
      <c r="H274" s="2" t="str">
        <f>IF(Crédito!A74="","",Crédito!J74)</f>
        <v/>
      </c>
      <c r="I274" s="2" t="str">
        <f>IF(Crédito!A74="","",Crédito!I74)</f>
        <v/>
      </c>
    </row>
    <row r="275" spans="1:9" ht="16.5" customHeight="1">
      <c r="A275" s="2" t="str">
        <f>IF(Crédito!A75="","","Crédito")</f>
        <v/>
      </c>
      <c r="B275" s="4" t="str">
        <f>IF(Crédito!A75="","",Crédito!A75)</f>
        <v/>
      </c>
      <c r="C275" s="2" t="str">
        <f>IF(Crédito!A75="","",Crédito!B75)</f>
        <v/>
      </c>
      <c r="D275" s="2" t="str">
        <f>IF(Crédito!A75="","",Crédito!C75)</f>
        <v/>
      </c>
      <c r="E275" s="2" t="str">
        <f>IF(Crédito!A75="","",Crédito!D75)</f>
        <v/>
      </c>
      <c r="F275" s="5" t="str">
        <f>IF(Crédito!A75="","",Crédito!E75)</f>
        <v/>
      </c>
      <c r="G275" s="2" t="str">
        <f>IF(Crédito!A75="","",Crédito!H75)</f>
        <v/>
      </c>
      <c r="H275" s="2" t="str">
        <f>IF(Crédito!A75="","",Crédito!J75)</f>
        <v/>
      </c>
      <c r="I275" s="2" t="str">
        <f>IF(Crédito!A75="","",Crédito!I75)</f>
        <v/>
      </c>
    </row>
    <row r="276" spans="1:9" ht="16.5" customHeight="1">
      <c r="A276" s="2" t="str">
        <f>IF(Crédito!A76="","","Crédito")</f>
        <v/>
      </c>
      <c r="B276" s="4" t="str">
        <f>IF(Crédito!A76="","",Crédito!A76)</f>
        <v/>
      </c>
      <c r="C276" s="2" t="str">
        <f>IF(Crédito!A76="","",Crédito!B76)</f>
        <v/>
      </c>
      <c r="D276" s="2" t="str">
        <f>IF(Crédito!A76="","",Crédito!C76)</f>
        <v/>
      </c>
      <c r="E276" s="2" t="str">
        <f>IF(Crédito!A76="","",Crédito!D76)</f>
        <v/>
      </c>
      <c r="F276" s="5" t="str">
        <f>IF(Crédito!A76="","",Crédito!E76)</f>
        <v/>
      </c>
      <c r="G276" s="2" t="str">
        <f>IF(Crédito!A76="","",Crédito!H76)</f>
        <v/>
      </c>
      <c r="H276" s="2" t="str">
        <f>IF(Crédito!A76="","",Crédito!J76)</f>
        <v/>
      </c>
      <c r="I276" s="2" t="str">
        <f>IF(Crédito!A76="","",Crédito!I76)</f>
        <v/>
      </c>
    </row>
    <row r="277" spans="1:9" ht="16.5" customHeight="1">
      <c r="A277" s="2" t="str">
        <f>IF(Crédito!A77="","","Crédito")</f>
        <v/>
      </c>
      <c r="B277" s="4" t="str">
        <f>IF(Crédito!A77="","",Crédito!A77)</f>
        <v/>
      </c>
      <c r="C277" s="2" t="str">
        <f>IF(Crédito!A77="","",Crédito!B77)</f>
        <v/>
      </c>
      <c r="D277" s="2" t="str">
        <f>IF(Crédito!A77="","",Crédito!C77)</f>
        <v/>
      </c>
      <c r="E277" s="2" t="str">
        <f>IF(Crédito!A77="","",Crédito!D77)</f>
        <v/>
      </c>
      <c r="F277" s="5" t="str">
        <f>IF(Crédito!A77="","",Crédito!E77)</f>
        <v/>
      </c>
      <c r="G277" s="2" t="str">
        <f>IF(Crédito!A77="","",Crédito!H77)</f>
        <v/>
      </c>
      <c r="H277" s="2" t="str">
        <f>IF(Crédito!A77="","",Crédito!J77)</f>
        <v/>
      </c>
      <c r="I277" s="2" t="str">
        <f>IF(Crédito!A77="","",Crédito!I77)</f>
        <v/>
      </c>
    </row>
    <row r="278" spans="1:9" ht="16.5" customHeight="1">
      <c r="A278" s="2" t="str">
        <f>IF(Crédito!A78="","","Crédito")</f>
        <v/>
      </c>
      <c r="B278" s="4" t="str">
        <f>IF(Crédito!A78="","",Crédito!A78)</f>
        <v/>
      </c>
      <c r="C278" s="2" t="str">
        <f>IF(Crédito!A78="","",Crédito!B78)</f>
        <v/>
      </c>
      <c r="D278" s="2" t="str">
        <f>IF(Crédito!A78="","",Crédito!C78)</f>
        <v/>
      </c>
      <c r="E278" s="2" t="str">
        <f>IF(Crédito!A78="","",Crédito!D78)</f>
        <v/>
      </c>
      <c r="F278" s="5" t="str">
        <f>IF(Crédito!A78="","",Crédito!E78)</f>
        <v/>
      </c>
      <c r="G278" s="2" t="str">
        <f>IF(Crédito!A78="","",Crédito!H78)</f>
        <v/>
      </c>
      <c r="H278" s="2" t="str">
        <f>IF(Crédito!A78="","",Crédito!J78)</f>
        <v/>
      </c>
      <c r="I278" s="2" t="str">
        <f>IF(Crédito!A78="","",Crédito!I78)</f>
        <v/>
      </c>
    </row>
    <row r="279" spans="1:9" ht="16.5" customHeight="1">
      <c r="A279" s="2" t="str">
        <f>IF(Crédito!A79="","","Crédito")</f>
        <v/>
      </c>
      <c r="B279" s="4" t="str">
        <f>IF(Crédito!A79="","",Crédito!A79)</f>
        <v/>
      </c>
      <c r="C279" s="2" t="str">
        <f>IF(Crédito!A79="","",Crédito!B79)</f>
        <v/>
      </c>
      <c r="D279" s="2" t="str">
        <f>IF(Crédito!A79="","",Crédito!C79)</f>
        <v/>
      </c>
      <c r="E279" s="2" t="str">
        <f>IF(Crédito!A79="","",Crédito!D79)</f>
        <v/>
      </c>
      <c r="F279" s="5" t="str">
        <f>IF(Crédito!A79="","",Crédito!E79)</f>
        <v/>
      </c>
      <c r="G279" s="2" t="str">
        <f>IF(Crédito!A79="","",Crédito!H79)</f>
        <v/>
      </c>
      <c r="H279" s="2" t="str">
        <f>IF(Crédito!A79="","",Crédito!J79)</f>
        <v/>
      </c>
      <c r="I279" s="2" t="str">
        <f>IF(Crédito!A79="","",Crédito!I79)</f>
        <v/>
      </c>
    </row>
    <row r="280" spans="1:9" ht="16.5" customHeight="1">
      <c r="A280" s="2" t="str">
        <f>IF(Crédito!A80="","","Crédito")</f>
        <v/>
      </c>
      <c r="B280" s="4" t="str">
        <f>IF(Crédito!A80="","",Crédito!A80)</f>
        <v/>
      </c>
      <c r="C280" s="2" t="str">
        <f>IF(Crédito!A80="","",Crédito!B80)</f>
        <v/>
      </c>
      <c r="D280" s="2" t="str">
        <f>IF(Crédito!A80="","",Crédito!C80)</f>
        <v/>
      </c>
      <c r="E280" s="2" t="str">
        <f>IF(Crédito!A80="","",Crédito!D80)</f>
        <v/>
      </c>
      <c r="F280" s="5" t="str">
        <f>IF(Crédito!A80="","",Crédito!E80)</f>
        <v/>
      </c>
      <c r="G280" s="2" t="str">
        <f>IF(Crédito!A80="","",Crédito!H80)</f>
        <v/>
      </c>
      <c r="H280" s="2" t="str">
        <f>IF(Crédito!A80="","",Crédito!J80)</f>
        <v/>
      </c>
      <c r="I280" s="2" t="str">
        <f>IF(Crédito!A80="","",Crédito!I80)</f>
        <v/>
      </c>
    </row>
    <row r="281" spans="1:9" ht="16.5" customHeight="1">
      <c r="A281" s="2" t="str">
        <f>IF(Crédito!A81="","","Crédito")</f>
        <v/>
      </c>
      <c r="B281" s="4" t="str">
        <f>IF(Crédito!A81="","",Crédito!A81)</f>
        <v/>
      </c>
      <c r="C281" s="2" t="str">
        <f>IF(Crédito!A81="","",Crédito!B81)</f>
        <v/>
      </c>
      <c r="D281" s="2" t="str">
        <f>IF(Crédito!A81="","",Crédito!C81)</f>
        <v/>
      </c>
      <c r="E281" s="2" t="str">
        <f>IF(Crédito!A81="","",Crédito!D81)</f>
        <v/>
      </c>
      <c r="F281" s="5" t="str">
        <f>IF(Crédito!A81="","",Crédito!E81)</f>
        <v/>
      </c>
      <c r="G281" s="2" t="str">
        <f>IF(Crédito!A81="","",Crédito!H81)</f>
        <v/>
      </c>
      <c r="H281" s="2" t="str">
        <f>IF(Crédito!A81="","",Crédito!J81)</f>
        <v/>
      </c>
      <c r="I281" s="2" t="str">
        <f>IF(Crédito!A81="","",Crédito!I81)</f>
        <v/>
      </c>
    </row>
    <row r="282" spans="1:9" ht="16.5" customHeight="1">
      <c r="A282" s="2" t="str">
        <f>IF(Crédito!A82="","","Crédito")</f>
        <v/>
      </c>
      <c r="B282" s="4" t="str">
        <f>IF(Crédito!A82="","",Crédito!A82)</f>
        <v/>
      </c>
      <c r="C282" s="2" t="str">
        <f>IF(Crédito!A82="","",Crédito!B82)</f>
        <v/>
      </c>
      <c r="D282" s="2" t="str">
        <f>IF(Crédito!A82="","",Crédito!C82)</f>
        <v/>
      </c>
      <c r="E282" s="2" t="str">
        <f>IF(Crédito!A82="","",Crédito!D82)</f>
        <v/>
      </c>
      <c r="F282" s="5" t="str">
        <f>IF(Crédito!A82="","",Crédito!E82)</f>
        <v/>
      </c>
      <c r="G282" s="2" t="str">
        <f>IF(Crédito!A82="","",Crédito!H82)</f>
        <v/>
      </c>
      <c r="H282" s="2" t="str">
        <f>IF(Crédito!A82="","",Crédito!J82)</f>
        <v/>
      </c>
      <c r="I282" s="2" t="str">
        <f>IF(Crédito!A82="","",Crédito!I82)</f>
        <v/>
      </c>
    </row>
    <row r="283" spans="1:9" ht="16.5" customHeight="1">
      <c r="A283" s="2" t="str">
        <f>IF(Crédito!A83="","","Crédito")</f>
        <v/>
      </c>
      <c r="B283" s="4" t="str">
        <f>IF(Crédito!A83="","",Crédito!A83)</f>
        <v/>
      </c>
      <c r="C283" s="2" t="str">
        <f>IF(Crédito!A83="","",Crédito!B83)</f>
        <v/>
      </c>
      <c r="D283" s="2" t="str">
        <f>IF(Crédito!A83="","",Crédito!C83)</f>
        <v/>
      </c>
      <c r="E283" s="2" t="str">
        <f>IF(Crédito!A83="","",Crédito!D83)</f>
        <v/>
      </c>
      <c r="F283" s="5" t="str">
        <f>IF(Crédito!A83="","",Crédito!E83)</f>
        <v/>
      </c>
      <c r="G283" s="2" t="str">
        <f>IF(Crédito!A83="","",Crédito!H83)</f>
        <v/>
      </c>
      <c r="H283" s="2" t="str">
        <f>IF(Crédito!A83="","",Crédito!J83)</f>
        <v/>
      </c>
      <c r="I283" s="2" t="str">
        <f>IF(Crédito!A83="","",Crédito!I83)</f>
        <v/>
      </c>
    </row>
    <row r="284" spans="1:9" ht="16.5" customHeight="1">
      <c r="A284" s="2" t="str">
        <f>IF(Crédito!A84="","","Crédito")</f>
        <v/>
      </c>
      <c r="B284" s="4" t="str">
        <f>IF(Crédito!A84="","",Crédito!A84)</f>
        <v/>
      </c>
      <c r="C284" s="2" t="str">
        <f>IF(Crédito!A84="","",Crédito!B84)</f>
        <v/>
      </c>
      <c r="D284" s="2" t="str">
        <f>IF(Crédito!A84="","",Crédito!C84)</f>
        <v/>
      </c>
      <c r="E284" s="2" t="str">
        <f>IF(Crédito!A84="","",Crédito!D84)</f>
        <v/>
      </c>
      <c r="F284" s="5" t="str">
        <f>IF(Crédito!A84="","",Crédito!E84)</f>
        <v/>
      </c>
      <c r="G284" s="2" t="str">
        <f>IF(Crédito!A84="","",Crédito!H84)</f>
        <v/>
      </c>
      <c r="H284" s="2" t="str">
        <f>IF(Crédito!A84="","",Crédito!J84)</f>
        <v/>
      </c>
      <c r="I284" s="2" t="str">
        <f>IF(Crédito!A84="","",Crédito!I84)</f>
        <v/>
      </c>
    </row>
    <row r="285" spans="1:9" ht="16.5" customHeight="1">
      <c r="A285" s="2" t="str">
        <f>IF(Crédito!A85="","","Crédito")</f>
        <v/>
      </c>
      <c r="B285" s="4" t="str">
        <f>IF(Crédito!A85="","",Crédito!A85)</f>
        <v/>
      </c>
      <c r="C285" s="2" t="str">
        <f>IF(Crédito!A85="","",Crédito!B85)</f>
        <v/>
      </c>
      <c r="D285" s="2" t="str">
        <f>IF(Crédito!A85="","",Crédito!C85)</f>
        <v/>
      </c>
      <c r="E285" s="2" t="str">
        <f>IF(Crédito!A85="","",Crédito!D85)</f>
        <v/>
      </c>
      <c r="F285" s="5" t="str">
        <f>IF(Crédito!A85="","",Crédito!E85)</f>
        <v/>
      </c>
      <c r="G285" s="2" t="str">
        <f>IF(Crédito!A85="","",Crédito!H85)</f>
        <v/>
      </c>
      <c r="H285" s="2" t="str">
        <f>IF(Crédito!A85="","",Crédito!J85)</f>
        <v/>
      </c>
      <c r="I285" s="2" t="str">
        <f>IF(Crédito!A85="","",Crédito!I85)</f>
        <v/>
      </c>
    </row>
    <row r="286" spans="1:9" ht="16.5" customHeight="1">
      <c r="A286" s="2" t="str">
        <f>IF(Crédito!A86="","","Crédito")</f>
        <v/>
      </c>
      <c r="B286" s="4" t="str">
        <f>IF(Crédito!A86="","",Crédito!A86)</f>
        <v/>
      </c>
      <c r="C286" s="2" t="str">
        <f>IF(Crédito!A86="","",Crédito!B86)</f>
        <v/>
      </c>
      <c r="D286" s="2" t="str">
        <f>IF(Crédito!A86="","",Crédito!C86)</f>
        <v/>
      </c>
      <c r="E286" s="2" t="str">
        <f>IF(Crédito!A86="","",Crédito!D86)</f>
        <v/>
      </c>
      <c r="F286" s="5" t="str">
        <f>IF(Crédito!A86="","",Crédito!E86)</f>
        <v/>
      </c>
      <c r="G286" s="2" t="str">
        <f>IF(Crédito!A86="","",Crédito!H86)</f>
        <v/>
      </c>
      <c r="H286" s="2" t="str">
        <f>IF(Crédito!A86="","",Crédito!J86)</f>
        <v/>
      </c>
      <c r="I286" s="2" t="str">
        <f>IF(Crédito!A86="","",Crédito!I86)</f>
        <v/>
      </c>
    </row>
    <row r="287" spans="1:9" ht="16.5" customHeight="1">
      <c r="A287" s="2" t="str">
        <f>IF(Crédito!A87="","","Crédito")</f>
        <v/>
      </c>
      <c r="B287" s="4" t="str">
        <f>IF(Crédito!A87="","",Crédito!A87)</f>
        <v/>
      </c>
      <c r="C287" s="2" t="str">
        <f>IF(Crédito!A87="","",Crédito!B87)</f>
        <v/>
      </c>
      <c r="D287" s="2" t="str">
        <f>IF(Crédito!A87="","",Crédito!C87)</f>
        <v/>
      </c>
      <c r="E287" s="2" t="str">
        <f>IF(Crédito!A87="","",Crédito!D87)</f>
        <v/>
      </c>
      <c r="F287" s="5" t="str">
        <f>IF(Crédito!A87="","",Crédito!E87)</f>
        <v/>
      </c>
      <c r="G287" s="2" t="str">
        <f>IF(Crédito!A87="","",Crédito!H87)</f>
        <v/>
      </c>
      <c r="H287" s="2" t="str">
        <f>IF(Crédito!A87="","",Crédito!J87)</f>
        <v/>
      </c>
      <c r="I287" s="2" t="str">
        <f>IF(Crédito!A87="","",Crédito!I87)</f>
        <v/>
      </c>
    </row>
    <row r="288" spans="1:9" ht="16.5" customHeight="1">
      <c r="A288" s="2" t="str">
        <f>IF(Crédito!A88="","","Crédito")</f>
        <v/>
      </c>
      <c r="B288" s="4" t="str">
        <f>IF(Crédito!A88="","",Crédito!A88)</f>
        <v/>
      </c>
      <c r="C288" s="2" t="str">
        <f>IF(Crédito!A88="","",Crédito!B88)</f>
        <v/>
      </c>
      <c r="D288" s="2" t="str">
        <f>IF(Crédito!A88="","",Crédito!C88)</f>
        <v/>
      </c>
      <c r="E288" s="2" t="str">
        <f>IF(Crédito!A88="","",Crédito!D88)</f>
        <v/>
      </c>
      <c r="F288" s="5" t="str">
        <f>IF(Crédito!A88="","",Crédito!E88)</f>
        <v/>
      </c>
      <c r="G288" s="2" t="str">
        <f>IF(Crédito!A88="","",Crédito!H88)</f>
        <v/>
      </c>
      <c r="H288" s="2" t="str">
        <f>IF(Crédito!A88="","",Crédito!J88)</f>
        <v/>
      </c>
      <c r="I288" s="2" t="str">
        <f>IF(Crédito!A88="","",Crédito!I88)</f>
        <v/>
      </c>
    </row>
    <row r="289" spans="1:9" ht="16.5" customHeight="1">
      <c r="A289" s="2" t="str">
        <f>IF(Crédito!A89="","","Crédito")</f>
        <v/>
      </c>
      <c r="B289" s="4" t="str">
        <f>IF(Crédito!A89="","",Crédito!A89)</f>
        <v/>
      </c>
      <c r="C289" s="2" t="str">
        <f>IF(Crédito!A89="","",Crédito!B89)</f>
        <v/>
      </c>
      <c r="D289" s="2" t="str">
        <f>IF(Crédito!A89="","",Crédito!C89)</f>
        <v/>
      </c>
      <c r="E289" s="2" t="str">
        <f>IF(Crédito!A89="","",Crédito!D89)</f>
        <v/>
      </c>
      <c r="F289" s="5" t="str">
        <f>IF(Crédito!A89="","",Crédito!E89)</f>
        <v/>
      </c>
      <c r="G289" s="2" t="str">
        <f>IF(Crédito!A89="","",Crédito!H89)</f>
        <v/>
      </c>
      <c r="H289" s="2" t="str">
        <f>IF(Crédito!A89="","",Crédito!J89)</f>
        <v/>
      </c>
      <c r="I289" s="2" t="str">
        <f>IF(Crédito!A89="","",Crédito!I89)</f>
        <v/>
      </c>
    </row>
    <row r="290" spans="1:9" ht="16.5" customHeight="1">
      <c r="A290" s="2" t="str">
        <f>IF(Crédito!A90="","","Crédito")</f>
        <v/>
      </c>
      <c r="B290" s="4" t="str">
        <f>IF(Crédito!A90="","",Crédito!A90)</f>
        <v/>
      </c>
      <c r="C290" s="2" t="str">
        <f>IF(Crédito!A90="","",Crédito!B90)</f>
        <v/>
      </c>
      <c r="D290" s="2" t="str">
        <f>IF(Crédito!A90="","",Crédito!C90)</f>
        <v/>
      </c>
      <c r="E290" s="2" t="str">
        <f>IF(Crédito!A90="","",Crédito!D90)</f>
        <v/>
      </c>
      <c r="F290" s="5" t="str">
        <f>IF(Crédito!A90="","",Crédito!E90)</f>
        <v/>
      </c>
      <c r="G290" s="2" t="str">
        <f>IF(Crédito!A90="","",Crédito!H90)</f>
        <v/>
      </c>
      <c r="H290" s="2" t="str">
        <f>IF(Crédito!A90="","",Crédito!J90)</f>
        <v/>
      </c>
      <c r="I290" s="2" t="str">
        <f>IF(Crédito!A90="","",Crédito!I90)</f>
        <v/>
      </c>
    </row>
    <row r="291" spans="1:9" ht="16.5" customHeight="1">
      <c r="A291" s="2" t="str">
        <f>IF(Crédito!A91="","","Crédito")</f>
        <v/>
      </c>
      <c r="B291" s="4" t="str">
        <f>IF(Crédito!A91="","",Crédito!A91)</f>
        <v/>
      </c>
      <c r="C291" s="2" t="str">
        <f>IF(Crédito!A91="","",Crédito!B91)</f>
        <v/>
      </c>
      <c r="D291" s="2" t="str">
        <f>IF(Crédito!A91="","",Crédito!C91)</f>
        <v/>
      </c>
      <c r="E291" s="2" t="str">
        <f>IF(Crédito!A91="","",Crédito!D91)</f>
        <v/>
      </c>
      <c r="F291" s="5" t="str">
        <f>IF(Crédito!A91="","",Crédito!E91)</f>
        <v/>
      </c>
      <c r="G291" s="2" t="str">
        <f>IF(Crédito!A91="","",Crédito!H91)</f>
        <v/>
      </c>
      <c r="H291" s="2" t="str">
        <f>IF(Crédito!A91="","",Crédito!J91)</f>
        <v/>
      </c>
      <c r="I291" s="2" t="str">
        <f>IF(Crédito!A91="","",Crédito!I91)</f>
        <v/>
      </c>
    </row>
    <row r="292" spans="1:9" ht="16.5" customHeight="1">
      <c r="A292" s="2" t="str">
        <f>IF(Crédito!A92="","","Crédito")</f>
        <v/>
      </c>
      <c r="B292" s="4" t="str">
        <f>IF(Crédito!A92="","",Crédito!A92)</f>
        <v/>
      </c>
      <c r="C292" s="2" t="str">
        <f>IF(Crédito!A92="","",Crédito!B92)</f>
        <v/>
      </c>
      <c r="D292" s="2" t="str">
        <f>IF(Crédito!A92="","",Crédito!C92)</f>
        <v/>
      </c>
      <c r="E292" s="2" t="str">
        <f>IF(Crédito!A92="","",Crédito!D92)</f>
        <v/>
      </c>
      <c r="F292" s="5" t="str">
        <f>IF(Crédito!A92="","",Crédito!E92)</f>
        <v/>
      </c>
      <c r="G292" s="2" t="str">
        <f>IF(Crédito!A92="","",Crédito!H92)</f>
        <v/>
      </c>
      <c r="H292" s="2" t="str">
        <f>IF(Crédito!A92="","",Crédito!J92)</f>
        <v/>
      </c>
      <c r="I292" s="2" t="str">
        <f>IF(Crédito!A92="","",Crédito!I92)</f>
        <v/>
      </c>
    </row>
    <row r="293" spans="1:9" ht="16.5" customHeight="1">
      <c r="A293" s="2" t="str">
        <f>IF(Crédito!A93="","","Crédito")</f>
        <v/>
      </c>
      <c r="B293" s="4" t="str">
        <f>IF(Crédito!A93="","",Crédito!A93)</f>
        <v/>
      </c>
      <c r="C293" s="2" t="str">
        <f>IF(Crédito!A93="","",Crédito!B93)</f>
        <v/>
      </c>
      <c r="D293" s="2" t="str">
        <f>IF(Crédito!A93="","",Crédito!C93)</f>
        <v/>
      </c>
      <c r="E293" s="2" t="str">
        <f>IF(Crédito!A93="","",Crédito!D93)</f>
        <v/>
      </c>
      <c r="F293" s="5" t="str">
        <f>IF(Crédito!A93="","",Crédito!E93)</f>
        <v/>
      </c>
      <c r="G293" s="2" t="str">
        <f>IF(Crédito!A93="","",Crédito!H93)</f>
        <v/>
      </c>
      <c r="H293" s="2" t="str">
        <f>IF(Crédito!A93="","",Crédito!J93)</f>
        <v/>
      </c>
      <c r="I293" s="2" t="str">
        <f>IF(Crédito!A93="","",Crédito!I93)</f>
        <v/>
      </c>
    </row>
    <row r="294" spans="1:9" ht="16.5" customHeight="1">
      <c r="A294" s="2" t="str">
        <f>IF(Crédito!A94="","","Crédito")</f>
        <v/>
      </c>
      <c r="B294" s="4" t="str">
        <f>IF(Crédito!A94="","",Crédito!A94)</f>
        <v/>
      </c>
      <c r="C294" s="2" t="str">
        <f>IF(Crédito!A94="","",Crédito!B94)</f>
        <v/>
      </c>
      <c r="D294" s="2" t="str">
        <f>IF(Crédito!A94="","",Crédito!C94)</f>
        <v/>
      </c>
      <c r="E294" s="2" t="str">
        <f>IF(Crédito!A94="","",Crédito!D94)</f>
        <v/>
      </c>
      <c r="F294" s="5" t="str">
        <f>IF(Crédito!A94="","",Crédito!E94)</f>
        <v/>
      </c>
      <c r="G294" s="2" t="str">
        <f>IF(Crédito!A94="","",Crédito!H94)</f>
        <v/>
      </c>
      <c r="H294" s="2" t="str">
        <f>IF(Crédito!A94="","",Crédito!J94)</f>
        <v/>
      </c>
      <c r="I294" s="2" t="str">
        <f>IF(Crédito!A94="","",Crédito!I94)</f>
        <v/>
      </c>
    </row>
    <row r="295" spans="1:9" ht="16.5" customHeight="1">
      <c r="A295" s="2" t="str">
        <f>IF(Crédito!A95="","","Crédito")</f>
        <v/>
      </c>
      <c r="B295" s="4" t="str">
        <f>IF(Crédito!A95="","",Crédito!A95)</f>
        <v/>
      </c>
      <c r="C295" s="2" t="str">
        <f>IF(Crédito!A95="","",Crédito!B95)</f>
        <v/>
      </c>
      <c r="D295" s="2" t="str">
        <f>IF(Crédito!A95="","",Crédito!C95)</f>
        <v/>
      </c>
      <c r="E295" s="2" t="str">
        <f>IF(Crédito!A95="","",Crédito!D95)</f>
        <v/>
      </c>
      <c r="F295" s="5" t="str">
        <f>IF(Crédito!A95="","",Crédito!E95)</f>
        <v/>
      </c>
      <c r="G295" s="2" t="str">
        <f>IF(Crédito!A95="","",Crédito!H95)</f>
        <v/>
      </c>
      <c r="H295" s="2" t="str">
        <f>IF(Crédito!A95="","",Crédito!J95)</f>
        <v/>
      </c>
      <c r="I295" s="2" t="str">
        <f>IF(Crédito!A95="","",Crédito!I95)</f>
        <v/>
      </c>
    </row>
    <row r="296" spans="1:9" ht="16.5" customHeight="1">
      <c r="A296" s="2" t="str">
        <f>IF(Crédito!A96="","","Crédito")</f>
        <v/>
      </c>
      <c r="B296" s="4" t="str">
        <f>IF(Crédito!A96="","",Crédito!A96)</f>
        <v/>
      </c>
      <c r="C296" s="2" t="str">
        <f>IF(Crédito!A96="","",Crédito!B96)</f>
        <v/>
      </c>
      <c r="D296" s="2" t="str">
        <f>IF(Crédito!A96="","",Crédito!C96)</f>
        <v/>
      </c>
      <c r="E296" s="2" t="str">
        <f>IF(Crédito!A96="","",Crédito!D96)</f>
        <v/>
      </c>
      <c r="F296" s="5" t="str">
        <f>IF(Crédito!A96="","",Crédito!E96)</f>
        <v/>
      </c>
      <c r="G296" s="2" t="str">
        <f>IF(Crédito!A96="","",Crédito!H96)</f>
        <v/>
      </c>
      <c r="H296" s="2" t="str">
        <f>IF(Crédito!A96="","",Crédito!J96)</f>
        <v/>
      </c>
      <c r="I296" s="2" t="str">
        <f>IF(Crédito!A96="","",Crédito!I96)</f>
        <v/>
      </c>
    </row>
    <row r="297" spans="1:9" ht="16.5" customHeight="1">
      <c r="A297" s="2" t="str">
        <f>IF(Crédito!A97="","","Crédito")</f>
        <v/>
      </c>
      <c r="B297" s="4" t="str">
        <f>IF(Crédito!A97="","",Crédito!A97)</f>
        <v/>
      </c>
      <c r="C297" s="2" t="str">
        <f>IF(Crédito!A97="","",Crédito!B97)</f>
        <v/>
      </c>
      <c r="D297" s="2" t="str">
        <f>IF(Crédito!A97="","",Crédito!C97)</f>
        <v/>
      </c>
      <c r="E297" s="2" t="str">
        <f>IF(Crédito!A97="","",Crédito!D97)</f>
        <v/>
      </c>
      <c r="F297" s="5" t="str">
        <f>IF(Crédito!A97="","",Crédito!E97)</f>
        <v/>
      </c>
      <c r="G297" s="2" t="str">
        <f>IF(Crédito!A97="","",Crédito!H97)</f>
        <v/>
      </c>
      <c r="H297" s="2" t="str">
        <f>IF(Crédito!A97="","",Crédito!J97)</f>
        <v/>
      </c>
      <c r="I297" s="2" t="str">
        <f>IF(Crédito!A97="","",Crédito!I97)</f>
        <v/>
      </c>
    </row>
    <row r="298" spans="1:9" ht="16.5" customHeight="1">
      <c r="A298" s="2" t="str">
        <f>IF(Crédito!A98="","","Crédito")</f>
        <v/>
      </c>
      <c r="B298" s="4" t="str">
        <f>IF(Crédito!A98="","",Crédito!A98)</f>
        <v/>
      </c>
      <c r="C298" s="2" t="str">
        <f>IF(Crédito!A98="","",Crédito!B98)</f>
        <v/>
      </c>
      <c r="D298" s="2" t="str">
        <f>IF(Crédito!A98="","",Crédito!C98)</f>
        <v/>
      </c>
      <c r="E298" s="2" t="str">
        <f>IF(Crédito!A98="","",Crédito!D98)</f>
        <v/>
      </c>
      <c r="F298" s="5" t="str">
        <f>IF(Crédito!A98="","",Crédito!E98)</f>
        <v/>
      </c>
      <c r="G298" s="2" t="str">
        <f>IF(Crédito!A98="","",Crédito!H98)</f>
        <v/>
      </c>
      <c r="H298" s="2" t="str">
        <f>IF(Crédito!A98="","",Crédito!J98)</f>
        <v/>
      </c>
      <c r="I298" s="2" t="str">
        <f>IF(Crédito!A98="","",Crédito!I98)</f>
        <v/>
      </c>
    </row>
    <row r="299" spans="1:9" ht="16.5" customHeight="1">
      <c r="A299" s="2" t="str">
        <f>IF(Crédito!A99="","","Crédito")</f>
        <v/>
      </c>
      <c r="B299" s="4" t="str">
        <f>IF(Crédito!A99="","",Crédito!A99)</f>
        <v/>
      </c>
      <c r="C299" s="2" t="str">
        <f>IF(Crédito!A99="","",Crédito!B99)</f>
        <v/>
      </c>
      <c r="D299" s="2" t="str">
        <f>IF(Crédito!A99="","",Crédito!C99)</f>
        <v/>
      </c>
      <c r="E299" s="2" t="str">
        <f>IF(Crédito!A99="","",Crédito!D99)</f>
        <v/>
      </c>
      <c r="F299" s="5" t="str">
        <f>IF(Crédito!A99="","",Crédito!E99)</f>
        <v/>
      </c>
      <c r="G299" s="2" t="str">
        <f>IF(Crédito!A99="","",Crédito!H99)</f>
        <v/>
      </c>
      <c r="H299" s="2" t="str">
        <f>IF(Crédito!A99="","",Crédito!J99)</f>
        <v/>
      </c>
      <c r="I299" s="2" t="str">
        <f>IF(Crédito!A99="","",Crédito!I99)</f>
        <v/>
      </c>
    </row>
    <row r="300" spans="1:9" ht="16.5" customHeight="1">
      <c r="A300" s="2" t="str">
        <f>IF(Crédito!A100="","","Crédito")</f>
        <v/>
      </c>
      <c r="B300" s="4" t="str">
        <f>IF(Crédito!A100="","",Crédito!A100)</f>
        <v/>
      </c>
      <c r="C300" s="2" t="str">
        <f>IF(Crédito!A100="","",Crédito!B100)</f>
        <v/>
      </c>
      <c r="D300" s="2" t="str">
        <f>IF(Crédito!A100="","",Crédito!C100)</f>
        <v/>
      </c>
      <c r="E300" s="2" t="str">
        <f>IF(Crédito!A100="","",Crédito!D100)</f>
        <v/>
      </c>
      <c r="F300" s="5" t="str">
        <f>IF(Crédito!A100="","",Crédito!E100)</f>
        <v/>
      </c>
      <c r="G300" s="2" t="str">
        <f>IF(Crédito!A100="","",Crédito!H100)</f>
        <v/>
      </c>
      <c r="H300" s="2" t="str">
        <f>IF(Crédito!A100="","",Crédito!J100)</f>
        <v/>
      </c>
      <c r="I300" s="2" t="str">
        <f>IF(Crédito!A100="","",Crédito!I100)</f>
        <v/>
      </c>
    </row>
    <row r="301" spans="1:9" ht="16.5" customHeight="1">
      <c r="A301" s="2" t="str">
        <f>IF(Crédito!A101="","","Crédito")</f>
        <v/>
      </c>
      <c r="B301" s="4" t="str">
        <f>IF(Crédito!A101="","",Crédito!A101)</f>
        <v/>
      </c>
      <c r="C301" s="2" t="str">
        <f>IF(Crédito!A101="","",Crédito!B101)</f>
        <v/>
      </c>
      <c r="D301" s="2" t="str">
        <f>IF(Crédito!A101="","",Crédito!C101)</f>
        <v/>
      </c>
      <c r="E301" s="2" t="str">
        <f>IF(Crédito!A101="","",Crédito!D101)</f>
        <v/>
      </c>
      <c r="F301" s="5" t="str">
        <f>IF(Crédito!A101="","",Crédito!E101)</f>
        <v/>
      </c>
      <c r="G301" s="2" t="str">
        <f>IF(Crédito!A101="","",Crédito!H101)</f>
        <v/>
      </c>
      <c r="H301" s="2" t="str">
        <f>IF(Crédito!A101="","",Crédito!J101)</f>
        <v/>
      </c>
      <c r="I301" s="2" t="str">
        <f>IF(Crédito!A101="","",Crédito!I101)</f>
        <v/>
      </c>
    </row>
    <row r="302" spans="1:9" ht="16.5" customHeight="1">
      <c r="A302" s="2" t="str">
        <f>IF(Crédito!A102="","","Crédito")</f>
        <v/>
      </c>
      <c r="B302" s="4" t="str">
        <f>IF(Crédito!A102="","",Crédito!A102)</f>
        <v/>
      </c>
      <c r="C302" s="2" t="str">
        <f>IF(Crédito!A102="","",Crédito!B102)</f>
        <v/>
      </c>
      <c r="D302" s="2" t="str">
        <f>IF(Crédito!A102="","",Crédito!C102)</f>
        <v/>
      </c>
      <c r="E302" s="2" t="str">
        <f>IF(Crédito!A102="","",Crédito!D102)</f>
        <v/>
      </c>
      <c r="F302" s="5" t="str">
        <f>IF(Crédito!A102="","",Crédito!E102)</f>
        <v/>
      </c>
      <c r="G302" s="2" t="str">
        <f>IF(Crédito!A102="","",Crédito!H102)</f>
        <v/>
      </c>
      <c r="H302" s="2" t="str">
        <f>IF(Crédito!A102="","",Crédito!J102)</f>
        <v/>
      </c>
      <c r="I302" s="2" t="str">
        <f>IF(Crédito!A102="","",Crédito!I102)</f>
        <v/>
      </c>
    </row>
    <row r="303" spans="1:9" ht="16.5" customHeight="1">
      <c r="A303" s="2" t="str">
        <f>IF(Crédito!A103="","","Crédito")</f>
        <v/>
      </c>
      <c r="B303" s="4" t="str">
        <f>IF(Crédito!A103="","",Crédito!A103)</f>
        <v/>
      </c>
      <c r="C303" s="2" t="str">
        <f>IF(Crédito!A103="","",Crédito!B103)</f>
        <v/>
      </c>
      <c r="D303" s="2" t="str">
        <f>IF(Crédito!A103="","",Crédito!C103)</f>
        <v/>
      </c>
      <c r="E303" s="2" t="str">
        <f>IF(Crédito!A103="","",Crédito!D103)</f>
        <v/>
      </c>
      <c r="F303" s="5" t="str">
        <f>IF(Crédito!A103="","",Crédito!E103)</f>
        <v/>
      </c>
      <c r="G303" s="2" t="str">
        <f>IF(Crédito!A103="","",Crédito!H103)</f>
        <v/>
      </c>
      <c r="H303" s="2" t="str">
        <f>IF(Crédito!A103="","",Crédito!J103)</f>
        <v/>
      </c>
      <c r="I303" s="2" t="str">
        <f>IF(Crédito!A103="","",Crédito!I103)</f>
        <v/>
      </c>
    </row>
    <row r="304" spans="1:9" ht="16.5" customHeight="1">
      <c r="A304" s="2" t="str">
        <f>IF(Crédito!A104="","","Crédito")</f>
        <v/>
      </c>
      <c r="B304" s="4" t="str">
        <f>IF(Crédito!A104="","",Crédito!A104)</f>
        <v/>
      </c>
      <c r="C304" s="2" t="str">
        <f>IF(Crédito!A104="","",Crédito!B104)</f>
        <v/>
      </c>
      <c r="D304" s="2" t="str">
        <f>IF(Crédito!A104="","",Crédito!C104)</f>
        <v/>
      </c>
      <c r="E304" s="2" t="str">
        <f>IF(Crédito!A104="","",Crédito!D104)</f>
        <v/>
      </c>
      <c r="F304" s="5" t="str">
        <f>IF(Crédito!A104="","",Crédito!E104)</f>
        <v/>
      </c>
      <c r="G304" s="2" t="str">
        <f>IF(Crédito!A104="","",Crédito!H104)</f>
        <v/>
      </c>
      <c r="H304" s="2" t="str">
        <f>IF(Crédito!A104="","",Crédito!J104)</f>
        <v/>
      </c>
      <c r="I304" s="2" t="str">
        <f>IF(Crédito!A104="","",Crédito!I104)</f>
        <v/>
      </c>
    </row>
    <row r="305" spans="1:9" ht="16.5" customHeight="1">
      <c r="A305" s="2" t="str">
        <f>IF(Crédito!A105="","","Crédito")</f>
        <v/>
      </c>
      <c r="B305" s="4" t="str">
        <f>IF(Crédito!A105="","",Crédito!A105)</f>
        <v/>
      </c>
      <c r="C305" s="2" t="str">
        <f>IF(Crédito!A105="","",Crédito!B105)</f>
        <v/>
      </c>
      <c r="D305" s="2" t="str">
        <f>IF(Crédito!A105="","",Crédito!C105)</f>
        <v/>
      </c>
      <c r="E305" s="2" t="str">
        <f>IF(Crédito!A105="","",Crédito!D105)</f>
        <v/>
      </c>
      <c r="F305" s="5" t="str">
        <f>IF(Crédito!A105="","",Crédito!E105)</f>
        <v/>
      </c>
      <c r="G305" s="2" t="str">
        <f>IF(Crédito!A105="","",Crédito!H105)</f>
        <v/>
      </c>
      <c r="H305" s="2" t="str">
        <f>IF(Crédito!A105="","",Crédito!J105)</f>
        <v/>
      </c>
      <c r="I305" s="2" t="str">
        <f>IF(Crédito!A105="","",Crédito!I105)</f>
        <v/>
      </c>
    </row>
    <row r="306" spans="1:9" ht="16.5" customHeight="1">
      <c r="A306" s="2" t="str">
        <f>IF(Crédito!A106="","","Crédito")</f>
        <v/>
      </c>
      <c r="B306" s="4" t="str">
        <f>IF(Crédito!A106="","",Crédito!A106)</f>
        <v/>
      </c>
      <c r="C306" s="2" t="str">
        <f>IF(Crédito!A106="","",Crédito!B106)</f>
        <v/>
      </c>
      <c r="D306" s="2" t="str">
        <f>IF(Crédito!A106="","",Crédito!C106)</f>
        <v/>
      </c>
      <c r="E306" s="2" t="str">
        <f>IF(Crédito!A106="","",Crédito!D106)</f>
        <v/>
      </c>
      <c r="F306" s="5" t="str">
        <f>IF(Crédito!A106="","",Crédito!E106)</f>
        <v/>
      </c>
      <c r="G306" s="2" t="str">
        <f>IF(Crédito!A106="","",Crédito!H106)</f>
        <v/>
      </c>
      <c r="H306" s="2" t="str">
        <f>IF(Crédito!A106="","",Crédito!J106)</f>
        <v/>
      </c>
      <c r="I306" s="2" t="str">
        <f>IF(Crédito!A106="","",Crédito!I106)</f>
        <v/>
      </c>
    </row>
    <row r="307" spans="1:9" ht="16.5" customHeight="1">
      <c r="A307" s="2" t="str">
        <f>IF(Crédito!A107="","","Crédito")</f>
        <v/>
      </c>
      <c r="B307" s="4" t="str">
        <f>IF(Crédito!A107="","",Crédito!A107)</f>
        <v/>
      </c>
      <c r="C307" s="2" t="str">
        <f>IF(Crédito!A107="","",Crédito!B107)</f>
        <v/>
      </c>
      <c r="D307" s="2" t="str">
        <f>IF(Crédito!A107="","",Crédito!C107)</f>
        <v/>
      </c>
      <c r="E307" s="2" t="str">
        <f>IF(Crédito!A107="","",Crédito!D107)</f>
        <v/>
      </c>
      <c r="F307" s="5" t="str">
        <f>IF(Crédito!A107="","",Crédito!E107)</f>
        <v/>
      </c>
      <c r="G307" s="2" t="str">
        <f>IF(Crédito!A107="","",Crédito!H107)</f>
        <v/>
      </c>
      <c r="H307" s="2" t="str">
        <f>IF(Crédito!A107="","",Crédito!J107)</f>
        <v/>
      </c>
      <c r="I307" s="2" t="str">
        <f>IF(Crédito!A107="","",Crédito!I107)</f>
        <v/>
      </c>
    </row>
    <row r="308" spans="1:9" ht="16.5" customHeight="1">
      <c r="A308" s="2" t="str">
        <f>IF(Crédito!A108="","","Crédito")</f>
        <v/>
      </c>
      <c r="B308" s="4" t="str">
        <f>IF(Crédito!A108="","",Crédito!A108)</f>
        <v/>
      </c>
      <c r="C308" s="2" t="str">
        <f>IF(Crédito!A108="","",Crédito!B108)</f>
        <v/>
      </c>
      <c r="D308" s="2" t="str">
        <f>IF(Crédito!A108="","",Crédito!C108)</f>
        <v/>
      </c>
      <c r="E308" s="2" t="str">
        <f>IF(Crédito!A108="","",Crédito!D108)</f>
        <v/>
      </c>
      <c r="F308" s="5" t="str">
        <f>IF(Crédito!A108="","",Crédito!E108)</f>
        <v/>
      </c>
      <c r="G308" s="2" t="str">
        <f>IF(Crédito!A108="","",Crédito!H108)</f>
        <v/>
      </c>
      <c r="H308" s="2" t="str">
        <f>IF(Crédito!A108="","",Crédito!J108)</f>
        <v/>
      </c>
      <c r="I308" s="2" t="str">
        <f>IF(Crédito!A108="","",Crédito!I108)</f>
        <v/>
      </c>
    </row>
    <row r="309" spans="1:9" ht="16.5" customHeight="1">
      <c r="A309" s="2" t="str">
        <f>IF(Crédito!A109="","","Crédito")</f>
        <v/>
      </c>
      <c r="B309" s="4" t="str">
        <f>IF(Crédito!A109="","",Crédito!A109)</f>
        <v/>
      </c>
      <c r="C309" s="2" t="str">
        <f>IF(Crédito!A109="","",Crédito!B109)</f>
        <v/>
      </c>
      <c r="D309" s="2" t="str">
        <f>IF(Crédito!A109="","",Crédito!C109)</f>
        <v/>
      </c>
      <c r="E309" s="2" t="str">
        <f>IF(Crédito!A109="","",Crédito!D109)</f>
        <v/>
      </c>
      <c r="F309" s="5" t="str">
        <f>IF(Crédito!A109="","",Crédito!E109)</f>
        <v/>
      </c>
      <c r="G309" s="2" t="str">
        <f>IF(Crédito!A109="","",Crédito!H109)</f>
        <v/>
      </c>
      <c r="H309" s="2" t="str">
        <f>IF(Crédito!A109="","",Crédito!J109)</f>
        <v/>
      </c>
      <c r="I309" s="2" t="str">
        <f>IF(Crédito!A109="","",Crédito!I109)</f>
        <v/>
      </c>
    </row>
    <row r="310" spans="1:9" ht="16.5" customHeight="1">
      <c r="A310" s="2" t="str">
        <f>IF(Crédito!A110="","","Crédito")</f>
        <v/>
      </c>
      <c r="B310" s="4" t="str">
        <f>IF(Crédito!A110="","",Crédito!A110)</f>
        <v/>
      </c>
      <c r="C310" s="2" t="str">
        <f>IF(Crédito!A110="","",Crédito!B110)</f>
        <v/>
      </c>
      <c r="D310" s="2" t="str">
        <f>IF(Crédito!A110="","",Crédito!C110)</f>
        <v/>
      </c>
      <c r="E310" s="2" t="str">
        <f>IF(Crédito!A110="","",Crédito!D110)</f>
        <v/>
      </c>
      <c r="F310" s="5" t="str">
        <f>IF(Crédito!A110="","",Crédito!E110)</f>
        <v/>
      </c>
      <c r="G310" s="2" t="str">
        <f>IF(Crédito!A110="","",Crédito!H110)</f>
        <v/>
      </c>
      <c r="H310" s="2" t="str">
        <f>IF(Crédito!A110="","",Crédito!J110)</f>
        <v/>
      </c>
      <c r="I310" s="2" t="str">
        <f>IF(Crédito!A110="","",Crédito!I110)</f>
        <v/>
      </c>
    </row>
    <row r="311" spans="1:9" ht="16.5" customHeight="1">
      <c r="A311" s="2" t="str">
        <f>IF(Crédito!A111="","","Crédito")</f>
        <v/>
      </c>
      <c r="B311" s="4" t="str">
        <f>IF(Crédito!A111="","",Crédito!A111)</f>
        <v/>
      </c>
      <c r="C311" s="2" t="str">
        <f>IF(Crédito!A111="","",Crédito!B111)</f>
        <v/>
      </c>
      <c r="D311" s="2" t="str">
        <f>IF(Crédito!A111="","",Crédito!C111)</f>
        <v/>
      </c>
      <c r="E311" s="2" t="str">
        <f>IF(Crédito!A111="","",Crédito!D111)</f>
        <v/>
      </c>
      <c r="F311" s="5" t="str">
        <f>IF(Crédito!A111="","",Crédito!E111)</f>
        <v/>
      </c>
      <c r="G311" s="2" t="str">
        <f>IF(Crédito!A111="","",Crédito!H111)</f>
        <v/>
      </c>
      <c r="H311" s="2" t="str">
        <f>IF(Crédito!A111="","",Crédito!J111)</f>
        <v/>
      </c>
      <c r="I311" s="2" t="str">
        <f>IF(Crédito!A111="","",Crédito!I111)</f>
        <v/>
      </c>
    </row>
    <row r="312" spans="1:9" ht="16.5" customHeight="1">
      <c r="A312" s="2" t="str">
        <f>IF(Crédito!A112="","","Crédito")</f>
        <v/>
      </c>
      <c r="B312" s="4" t="str">
        <f>IF(Crédito!A112="","",Crédito!A112)</f>
        <v/>
      </c>
      <c r="C312" s="2" t="str">
        <f>IF(Crédito!A112="","",Crédito!B112)</f>
        <v/>
      </c>
      <c r="D312" s="2" t="str">
        <f>IF(Crédito!A112="","",Crédito!C112)</f>
        <v/>
      </c>
      <c r="E312" s="2" t="str">
        <f>IF(Crédito!A112="","",Crédito!D112)</f>
        <v/>
      </c>
      <c r="F312" s="5" t="str">
        <f>IF(Crédito!A112="","",Crédito!E112)</f>
        <v/>
      </c>
      <c r="G312" s="2" t="str">
        <f>IF(Crédito!A112="","",Crédito!H112)</f>
        <v/>
      </c>
      <c r="H312" s="2" t="str">
        <f>IF(Crédito!A112="","",Crédito!J112)</f>
        <v/>
      </c>
      <c r="I312" s="2" t="str">
        <f>IF(Crédito!A112="","",Crédito!I112)</f>
        <v/>
      </c>
    </row>
    <row r="313" spans="1:9" ht="16.5" customHeight="1">
      <c r="A313" s="2" t="str">
        <f>IF(Crédito!A113="","","Crédito")</f>
        <v/>
      </c>
      <c r="B313" s="4" t="str">
        <f>IF(Crédito!A113="","",Crédito!A113)</f>
        <v/>
      </c>
      <c r="C313" s="2" t="str">
        <f>IF(Crédito!A113="","",Crédito!B113)</f>
        <v/>
      </c>
      <c r="D313" s="2" t="str">
        <f>IF(Crédito!A113="","",Crédito!C113)</f>
        <v/>
      </c>
      <c r="E313" s="2" t="str">
        <f>IF(Crédito!A113="","",Crédito!D113)</f>
        <v/>
      </c>
      <c r="F313" s="5" t="str">
        <f>IF(Crédito!A113="","",Crédito!E113)</f>
        <v/>
      </c>
      <c r="G313" s="2" t="str">
        <f>IF(Crédito!A113="","",Crédito!H113)</f>
        <v/>
      </c>
      <c r="H313" s="2" t="str">
        <f>IF(Crédito!A113="","",Crédito!J113)</f>
        <v/>
      </c>
      <c r="I313" s="2" t="str">
        <f>IF(Crédito!A113="","",Crédito!I113)</f>
        <v/>
      </c>
    </row>
    <row r="314" spans="1:9" ht="16.5" customHeight="1">
      <c r="A314" s="2" t="str">
        <f>IF(Crédito!A114="","","Crédito")</f>
        <v/>
      </c>
      <c r="B314" s="4" t="str">
        <f>IF(Crédito!A114="","",Crédito!A114)</f>
        <v/>
      </c>
      <c r="C314" s="2" t="str">
        <f>IF(Crédito!A114="","",Crédito!B114)</f>
        <v/>
      </c>
      <c r="D314" s="2" t="str">
        <f>IF(Crédito!A114="","",Crédito!C114)</f>
        <v/>
      </c>
      <c r="E314" s="2" t="str">
        <f>IF(Crédito!A114="","",Crédito!D114)</f>
        <v/>
      </c>
      <c r="F314" s="5" t="str">
        <f>IF(Crédito!A114="","",Crédito!E114)</f>
        <v/>
      </c>
      <c r="G314" s="2" t="str">
        <f>IF(Crédito!A114="","",Crédito!H114)</f>
        <v/>
      </c>
      <c r="H314" s="2" t="str">
        <f>IF(Crédito!A114="","",Crédito!J114)</f>
        <v/>
      </c>
      <c r="I314" s="2" t="str">
        <f>IF(Crédito!A114="","",Crédito!I114)</f>
        <v/>
      </c>
    </row>
    <row r="315" spans="1:9" ht="16.5" customHeight="1">
      <c r="A315" s="2" t="str">
        <f>IF(Crédito!A115="","","Crédito")</f>
        <v/>
      </c>
      <c r="B315" s="4" t="str">
        <f>IF(Crédito!A115="","",Crédito!A115)</f>
        <v/>
      </c>
      <c r="C315" s="2" t="str">
        <f>IF(Crédito!A115="","",Crédito!B115)</f>
        <v/>
      </c>
      <c r="D315" s="2" t="str">
        <f>IF(Crédito!A115="","",Crédito!C115)</f>
        <v/>
      </c>
      <c r="E315" s="2" t="str">
        <f>IF(Crédito!A115="","",Crédito!D115)</f>
        <v/>
      </c>
      <c r="F315" s="5" t="str">
        <f>IF(Crédito!A115="","",Crédito!E115)</f>
        <v/>
      </c>
      <c r="G315" s="2" t="str">
        <f>IF(Crédito!A115="","",Crédito!H115)</f>
        <v/>
      </c>
      <c r="H315" s="2" t="str">
        <f>IF(Crédito!A115="","",Crédito!J115)</f>
        <v/>
      </c>
      <c r="I315" s="2" t="str">
        <f>IF(Crédito!A115="","",Crédito!I115)</f>
        <v/>
      </c>
    </row>
    <row r="316" spans="1:9" ht="16.5" customHeight="1">
      <c r="A316" s="2" t="str">
        <f>IF(Crédito!A116="","","Crédito")</f>
        <v/>
      </c>
      <c r="B316" s="4" t="str">
        <f>IF(Crédito!A116="","",Crédito!A116)</f>
        <v/>
      </c>
      <c r="C316" s="2" t="str">
        <f>IF(Crédito!A116="","",Crédito!B116)</f>
        <v/>
      </c>
      <c r="D316" s="2" t="str">
        <f>IF(Crédito!A116="","",Crédito!C116)</f>
        <v/>
      </c>
      <c r="E316" s="2" t="str">
        <f>IF(Crédito!A116="","",Crédito!D116)</f>
        <v/>
      </c>
      <c r="F316" s="5" t="str">
        <f>IF(Crédito!A116="","",Crédito!E116)</f>
        <v/>
      </c>
      <c r="G316" s="2" t="str">
        <f>IF(Crédito!A116="","",Crédito!H116)</f>
        <v/>
      </c>
      <c r="H316" s="2" t="str">
        <f>IF(Crédito!A116="","",Crédito!J116)</f>
        <v/>
      </c>
      <c r="I316" s="2" t="str">
        <f>IF(Crédito!A116="","",Crédito!I116)</f>
        <v/>
      </c>
    </row>
    <row r="317" spans="1:9" ht="16.5" customHeight="1">
      <c r="A317" s="2" t="str">
        <f>IF(Crédito!A117="","","Crédito")</f>
        <v/>
      </c>
      <c r="B317" s="4" t="str">
        <f>IF(Crédito!A117="","",Crédito!A117)</f>
        <v/>
      </c>
      <c r="C317" s="2" t="str">
        <f>IF(Crédito!A117="","",Crédito!B117)</f>
        <v/>
      </c>
      <c r="D317" s="2" t="str">
        <f>IF(Crédito!A117="","",Crédito!C117)</f>
        <v/>
      </c>
      <c r="E317" s="2" t="str">
        <f>IF(Crédito!A117="","",Crédito!D117)</f>
        <v/>
      </c>
      <c r="F317" s="5" t="str">
        <f>IF(Crédito!A117="","",Crédito!E117)</f>
        <v/>
      </c>
      <c r="G317" s="2" t="str">
        <f>IF(Crédito!A117="","",Crédito!H117)</f>
        <v/>
      </c>
      <c r="H317" s="2" t="str">
        <f>IF(Crédito!A117="","",Crédito!J117)</f>
        <v/>
      </c>
      <c r="I317" s="2" t="str">
        <f>IF(Crédito!A117="","",Crédito!I117)</f>
        <v/>
      </c>
    </row>
    <row r="318" spans="1:9" ht="16.5" customHeight="1">
      <c r="A318" s="2" t="str">
        <f>IF(Crédito!A118="","","Crédito")</f>
        <v/>
      </c>
      <c r="B318" s="4" t="str">
        <f>IF(Crédito!A118="","",Crédito!A118)</f>
        <v/>
      </c>
      <c r="C318" s="2" t="str">
        <f>IF(Crédito!A118="","",Crédito!B118)</f>
        <v/>
      </c>
      <c r="D318" s="2" t="str">
        <f>IF(Crédito!A118="","",Crédito!C118)</f>
        <v/>
      </c>
      <c r="E318" s="2" t="str">
        <f>IF(Crédito!A118="","",Crédito!D118)</f>
        <v/>
      </c>
      <c r="F318" s="5" t="str">
        <f>IF(Crédito!A118="","",Crédito!E118)</f>
        <v/>
      </c>
      <c r="G318" s="2" t="str">
        <f>IF(Crédito!A118="","",Crédito!H118)</f>
        <v/>
      </c>
      <c r="H318" s="2" t="str">
        <f>IF(Crédito!A118="","",Crédito!J118)</f>
        <v/>
      </c>
      <c r="I318" s="2" t="str">
        <f>IF(Crédito!A118="","",Crédito!I118)</f>
        <v/>
      </c>
    </row>
    <row r="319" spans="1:9" ht="16.5" customHeight="1">
      <c r="A319" s="2" t="str">
        <f>IF(Crédito!A119="","","Crédito")</f>
        <v/>
      </c>
      <c r="B319" s="4" t="str">
        <f>IF(Crédito!A119="","",Crédito!A119)</f>
        <v/>
      </c>
      <c r="C319" s="2" t="str">
        <f>IF(Crédito!A119="","",Crédito!B119)</f>
        <v/>
      </c>
      <c r="D319" s="2" t="str">
        <f>IF(Crédito!A119="","",Crédito!C119)</f>
        <v/>
      </c>
      <c r="E319" s="2" t="str">
        <f>IF(Crédito!A119="","",Crédito!D119)</f>
        <v/>
      </c>
      <c r="F319" s="5" t="str">
        <f>IF(Crédito!A119="","",Crédito!E119)</f>
        <v/>
      </c>
      <c r="G319" s="2" t="str">
        <f>IF(Crédito!A119="","",Crédito!H119)</f>
        <v/>
      </c>
      <c r="H319" s="2" t="str">
        <f>IF(Crédito!A119="","",Crédito!J119)</f>
        <v/>
      </c>
      <c r="I319" s="2" t="str">
        <f>IF(Crédito!A119="","",Crédito!I119)</f>
        <v/>
      </c>
    </row>
    <row r="320" spans="1:9" ht="16.5" customHeight="1">
      <c r="A320" s="2" t="str">
        <f>IF(Crédito!A120="","","Crédito")</f>
        <v/>
      </c>
      <c r="B320" s="4" t="str">
        <f>IF(Crédito!A120="","",Crédito!A120)</f>
        <v/>
      </c>
      <c r="C320" s="2" t="str">
        <f>IF(Crédito!A120="","",Crédito!B120)</f>
        <v/>
      </c>
      <c r="D320" s="2" t="str">
        <f>IF(Crédito!A120="","",Crédito!C120)</f>
        <v/>
      </c>
      <c r="E320" s="2" t="str">
        <f>IF(Crédito!A120="","",Crédito!D120)</f>
        <v/>
      </c>
      <c r="F320" s="5" t="str">
        <f>IF(Crédito!A120="","",Crédito!E120)</f>
        <v/>
      </c>
      <c r="G320" s="2" t="str">
        <f>IF(Crédito!A120="","",Crédito!H120)</f>
        <v/>
      </c>
      <c r="H320" s="2" t="str">
        <f>IF(Crédito!A120="","",Crédito!J120)</f>
        <v/>
      </c>
      <c r="I320" s="2" t="str">
        <f>IF(Crédito!A120="","",Crédito!I120)</f>
        <v/>
      </c>
    </row>
    <row r="321" spans="1:9" ht="16.5" customHeight="1">
      <c r="A321" s="2" t="str">
        <f>IF(Crédito!A121="","","Crédito")</f>
        <v/>
      </c>
      <c r="B321" s="4" t="str">
        <f>IF(Crédito!A121="","",Crédito!A121)</f>
        <v/>
      </c>
      <c r="C321" s="2" t="str">
        <f>IF(Crédito!A121="","",Crédito!B121)</f>
        <v/>
      </c>
      <c r="D321" s="2" t="str">
        <f>IF(Crédito!A121="","",Crédito!C121)</f>
        <v/>
      </c>
      <c r="E321" s="2" t="str">
        <f>IF(Crédito!A121="","",Crédito!D121)</f>
        <v/>
      </c>
      <c r="F321" s="5" t="str">
        <f>IF(Crédito!A121="","",Crédito!E121)</f>
        <v/>
      </c>
      <c r="G321" s="2" t="str">
        <f>IF(Crédito!A121="","",Crédito!H121)</f>
        <v/>
      </c>
      <c r="H321" s="2" t="str">
        <f>IF(Crédito!A121="","",Crédito!J121)</f>
        <v/>
      </c>
      <c r="I321" s="2" t="str">
        <f>IF(Crédito!A121="","",Crédito!I121)</f>
        <v/>
      </c>
    </row>
    <row r="322" spans="1:9" ht="16.5" customHeight="1">
      <c r="A322" s="2" t="str">
        <f>IF(Crédito!A122="","","Crédito")</f>
        <v/>
      </c>
      <c r="B322" s="4" t="str">
        <f>IF(Crédito!A122="","",Crédito!A122)</f>
        <v/>
      </c>
      <c r="C322" s="2" t="str">
        <f>IF(Crédito!A122="","",Crédito!B122)</f>
        <v/>
      </c>
      <c r="D322" s="2" t="str">
        <f>IF(Crédito!A122="","",Crédito!C122)</f>
        <v/>
      </c>
      <c r="E322" s="2" t="str">
        <f>IF(Crédito!A122="","",Crédito!D122)</f>
        <v/>
      </c>
      <c r="F322" s="5" t="str">
        <f>IF(Crédito!A122="","",Crédito!E122)</f>
        <v/>
      </c>
      <c r="G322" s="2" t="str">
        <f>IF(Crédito!A122="","",Crédito!H122)</f>
        <v/>
      </c>
      <c r="H322" s="2" t="str">
        <f>IF(Crédito!A122="","",Crédito!J122)</f>
        <v/>
      </c>
      <c r="I322" s="2" t="str">
        <f>IF(Crédito!A122="","",Crédito!I122)</f>
        <v/>
      </c>
    </row>
    <row r="323" spans="1:9" ht="16.5" customHeight="1">
      <c r="A323" s="2" t="str">
        <f>IF(Crédito!A123="","","Crédito")</f>
        <v/>
      </c>
      <c r="B323" s="4" t="str">
        <f>IF(Crédito!A123="","",Crédito!A123)</f>
        <v/>
      </c>
      <c r="C323" s="2" t="str">
        <f>IF(Crédito!A123="","",Crédito!B123)</f>
        <v/>
      </c>
      <c r="D323" s="2" t="str">
        <f>IF(Crédito!A123="","",Crédito!C123)</f>
        <v/>
      </c>
      <c r="E323" s="2" t="str">
        <f>IF(Crédito!A123="","",Crédito!D123)</f>
        <v/>
      </c>
      <c r="F323" s="5" t="str">
        <f>IF(Crédito!A123="","",Crédito!E123)</f>
        <v/>
      </c>
      <c r="G323" s="2" t="str">
        <f>IF(Crédito!A123="","",Crédito!H123)</f>
        <v/>
      </c>
      <c r="H323" s="2" t="str">
        <f>IF(Crédito!A123="","",Crédito!J123)</f>
        <v/>
      </c>
      <c r="I323" s="2" t="str">
        <f>IF(Crédito!A123="","",Crédito!I123)</f>
        <v/>
      </c>
    </row>
    <row r="324" spans="1:9" ht="16.5" customHeight="1">
      <c r="A324" s="2" t="str">
        <f>IF(Crédito!A124="","","Crédito")</f>
        <v/>
      </c>
      <c r="B324" s="4" t="str">
        <f>IF(Crédito!A124="","",Crédito!A124)</f>
        <v/>
      </c>
      <c r="C324" s="2" t="str">
        <f>IF(Crédito!A124="","",Crédito!B124)</f>
        <v/>
      </c>
      <c r="D324" s="2" t="str">
        <f>IF(Crédito!A124="","",Crédito!C124)</f>
        <v/>
      </c>
      <c r="E324" s="2" t="str">
        <f>IF(Crédito!A124="","",Crédito!D124)</f>
        <v/>
      </c>
      <c r="F324" s="5" t="str">
        <f>IF(Crédito!A124="","",Crédito!E124)</f>
        <v/>
      </c>
      <c r="G324" s="2" t="str">
        <f>IF(Crédito!A124="","",Crédito!H124)</f>
        <v/>
      </c>
      <c r="H324" s="2" t="str">
        <f>IF(Crédito!A124="","",Crédito!J124)</f>
        <v/>
      </c>
      <c r="I324" s="2" t="str">
        <f>IF(Crédito!A124="","",Crédito!I124)</f>
        <v/>
      </c>
    </row>
    <row r="325" spans="1:9" ht="16.5" customHeight="1">
      <c r="A325" s="2" t="str">
        <f>IF(Crédito!A125="","","Crédito")</f>
        <v/>
      </c>
      <c r="B325" s="4" t="str">
        <f>IF(Crédito!A125="","",Crédito!A125)</f>
        <v/>
      </c>
      <c r="C325" s="2" t="str">
        <f>IF(Crédito!A125="","",Crédito!B125)</f>
        <v/>
      </c>
      <c r="D325" s="2" t="str">
        <f>IF(Crédito!A125="","",Crédito!C125)</f>
        <v/>
      </c>
      <c r="E325" s="2" t="str">
        <f>IF(Crédito!A125="","",Crédito!D125)</f>
        <v/>
      </c>
      <c r="F325" s="5" t="str">
        <f>IF(Crédito!A125="","",Crédito!E125)</f>
        <v/>
      </c>
      <c r="G325" s="2" t="str">
        <f>IF(Crédito!A125="","",Crédito!H125)</f>
        <v/>
      </c>
      <c r="H325" s="2" t="str">
        <f>IF(Crédito!A125="","",Crédito!J125)</f>
        <v/>
      </c>
      <c r="I325" s="2" t="str">
        <f>IF(Crédito!A125="","",Crédito!I125)</f>
        <v/>
      </c>
    </row>
    <row r="326" spans="1:9" ht="16.5" customHeight="1">
      <c r="A326" s="2" t="str">
        <f>IF(Crédito!A126="","","Crédito")</f>
        <v/>
      </c>
      <c r="B326" s="4" t="str">
        <f>IF(Crédito!A126="","",Crédito!A126)</f>
        <v/>
      </c>
      <c r="C326" s="2" t="str">
        <f>IF(Crédito!A126="","",Crédito!B126)</f>
        <v/>
      </c>
      <c r="D326" s="2" t="str">
        <f>IF(Crédito!A126="","",Crédito!C126)</f>
        <v/>
      </c>
      <c r="E326" s="2" t="str">
        <f>IF(Crédito!A126="","",Crédito!D126)</f>
        <v/>
      </c>
      <c r="F326" s="5" t="str">
        <f>IF(Crédito!A126="","",Crédito!E126)</f>
        <v/>
      </c>
      <c r="G326" s="2" t="str">
        <f>IF(Crédito!A126="","",Crédito!H126)</f>
        <v/>
      </c>
      <c r="H326" s="2" t="str">
        <f>IF(Crédito!A126="","",Crédito!J126)</f>
        <v/>
      </c>
      <c r="I326" s="2" t="str">
        <f>IF(Crédito!A126="","",Crédito!I126)</f>
        <v/>
      </c>
    </row>
    <row r="327" spans="1:9" ht="16.5" customHeight="1">
      <c r="A327" s="2" t="str">
        <f>IF(Crédito!A127="","","Crédito")</f>
        <v/>
      </c>
      <c r="B327" s="4" t="str">
        <f>IF(Crédito!A127="","",Crédito!A127)</f>
        <v/>
      </c>
      <c r="C327" s="2" t="str">
        <f>IF(Crédito!A127="","",Crédito!B127)</f>
        <v/>
      </c>
      <c r="D327" s="2" t="str">
        <f>IF(Crédito!A127="","",Crédito!C127)</f>
        <v/>
      </c>
      <c r="E327" s="2" t="str">
        <f>IF(Crédito!A127="","",Crédito!D127)</f>
        <v/>
      </c>
      <c r="F327" s="5" t="str">
        <f>IF(Crédito!A127="","",Crédito!E127)</f>
        <v/>
      </c>
      <c r="G327" s="2" t="str">
        <f>IF(Crédito!A127="","",Crédito!H127)</f>
        <v/>
      </c>
      <c r="H327" s="2" t="str">
        <f>IF(Crédito!A127="","",Crédito!J127)</f>
        <v/>
      </c>
      <c r="I327" s="2" t="str">
        <f>IF(Crédito!A127="","",Crédito!I127)</f>
        <v/>
      </c>
    </row>
    <row r="328" spans="1:9" ht="16.5" customHeight="1">
      <c r="A328" s="2" t="str">
        <f>IF(Crédito!A128="","","Crédito")</f>
        <v/>
      </c>
      <c r="B328" s="4" t="str">
        <f>IF(Crédito!A128="","",Crédito!A128)</f>
        <v/>
      </c>
      <c r="C328" s="2" t="str">
        <f>IF(Crédito!A128="","",Crédito!B128)</f>
        <v/>
      </c>
      <c r="D328" s="2" t="str">
        <f>IF(Crédito!A128="","",Crédito!C128)</f>
        <v/>
      </c>
      <c r="E328" s="2" t="str">
        <f>IF(Crédito!A128="","",Crédito!D128)</f>
        <v/>
      </c>
      <c r="F328" s="5" t="str">
        <f>IF(Crédito!A128="","",Crédito!E128)</f>
        <v/>
      </c>
      <c r="G328" s="2" t="str">
        <f>IF(Crédito!A128="","",Crédito!H128)</f>
        <v/>
      </c>
      <c r="H328" s="2" t="str">
        <f>IF(Crédito!A128="","",Crédito!J128)</f>
        <v/>
      </c>
      <c r="I328" s="2" t="str">
        <f>IF(Crédito!A128="","",Crédito!I128)</f>
        <v/>
      </c>
    </row>
    <row r="329" spans="1:9" ht="16.5" customHeight="1">
      <c r="A329" s="2" t="str">
        <f>IF(Crédito!A129="","","Crédito")</f>
        <v/>
      </c>
      <c r="B329" s="4" t="str">
        <f>IF(Crédito!A129="","",Crédito!A129)</f>
        <v/>
      </c>
      <c r="C329" s="2" t="str">
        <f>IF(Crédito!A129="","",Crédito!B129)</f>
        <v/>
      </c>
      <c r="D329" s="2" t="str">
        <f>IF(Crédito!A129="","",Crédito!C129)</f>
        <v/>
      </c>
      <c r="E329" s="2" t="str">
        <f>IF(Crédito!A129="","",Crédito!D129)</f>
        <v/>
      </c>
      <c r="F329" s="5" t="str">
        <f>IF(Crédito!A129="","",Crédito!E129)</f>
        <v/>
      </c>
      <c r="G329" s="2" t="str">
        <f>IF(Crédito!A129="","",Crédito!H129)</f>
        <v/>
      </c>
      <c r="H329" s="2" t="str">
        <f>IF(Crédito!A129="","",Crédito!J129)</f>
        <v/>
      </c>
      <c r="I329" s="2" t="str">
        <f>IF(Crédito!A129="","",Crédito!I129)</f>
        <v/>
      </c>
    </row>
    <row r="330" spans="1:9" ht="16.5" customHeight="1">
      <c r="A330" s="2" t="str">
        <f>IF(Crédito!A130="","","Crédito")</f>
        <v/>
      </c>
      <c r="B330" s="4" t="str">
        <f>IF(Crédito!A130="","",Crédito!A130)</f>
        <v/>
      </c>
      <c r="C330" s="2" t="str">
        <f>IF(Crédito!A130="","",Crédito!B130)</f>
        <v/>
      </c>
      <c r="D330" s="2" t="str">
        <f>IF(Crédito!A130="","",Crédito!C130)</f>
        <v/>
      </c>
      <c r="E330" s="2" t="str">
        <f>IF(Crédito!A130="","",Crédito!D130)</f>
        <v/>
      </c>
      <c r="F330" s="5" t="str">
        <f>IF(Crédito!A130="","",Crédito!E130)</f>
        <v/>
      </c>
      <c r="G330" s="2" t="str">
        <f>IF(Crédito!A130="","",Crédito!H130)</f>
        <v/>
      </c>
      <c r="H330" s="2" t="str">
        <f>IF(Crédito!A130="","",Crédito!J130)</f>
        <v/>
      </c>
      <c r="I330" s="2" t="str">
        <f>IF(Crédito!A130="","",Crédito!I130)</f>
        <v/>
      </c>
    </row>
    <row r="331" spans="1:9" ht="16.5" customHeight="1">
      <c r="A331" s="2" t="str">
        <f>IF(Crédito!A131="","","Crédito")</f>
        <v/>
      </c>
      <c r="B331" s="4" t="str">
        <f>IF(Crédito!A131="","",Crédito!A131)</f>
        <v/>
      </c>
      <c r="C331" s="2" t="str">
        <f>IF(Crédito!A131="","",Crédito!B131)</f>
        <v/>
      </c>
      <c r="D331" s="2" t="str">
        <f>IF(Crédito!A131="","",Crédito!C131)</f>
        <v/>
      </c>
      <c r="E331" s="2" t="str">
        <f>IF(Crédito!A131="","",Crédito!D131)</f>
        <v/>
      </c>
      <c r="F331" s="5" t="str">
        <f>IF(Crédito!A131="","",Crédito!E131)</f>
        <v/>
      </c>
      <c r="G331" s="2" t="str">
        <f>IF(Crédito!A131="","",Crédito!H131)</f>
        <v/>
      </c>
      <c r="H331" s="2" t="str">
        <f>IF(Crédito!A131="","",Crédito!J131)</f>
        <v/>
      </c>
      <c r="I331" s="2" t="str">
        <f>IF(Crédito!A131="","",Crédito!I131)</f>
        <v/>
      </c>
    </row>
    <row r="332" spans="1:9" ht="16.5" customHeight="1">
      <c r="A332" s="2" t="str">
        <f>IF(Crédito!A132="","","Crédito")</f>
        <v/>
      </c>
      <c r="B332" s="4" t="str">
        <f>IF(Crédito!A132="","",Crédito!A132)</f>
        <v/>
      </c>
      <c r="C332" s="2" t="str">
        <f>IF(Crédito!A132="","",Crédito!B132)</f>
        <v/>
      </c>
      <c r="D332" s="2" t="str">
        <f>IF(Crédito!A132="","",Crédito!C132)</f>
        <v/>
      </c>
      <c r="E332" s="2" t="str">
        <f>IF(Crédito!A132="","",Crédito!D132)</f>
        <v/>
      </c>
      <c r="F332" s="5" t="str">
        <f>IF(Crédito!A132="","",Crédito!E132)</f>
        <v/>
      </c>
      <c r="G332" s="2" t="str">
        <f>IF(Crédito!A132="","",Crédito!H132)</f>
        <v/>
      </c>
      <c r="H332" s="2" t="str">
        <f>IF(Crédito!A132="","",Crédito!J132)</f>
        <v/>
      </c>
      <c r="I332" s="2" t="str">
        <f>IF(Crédito!A132="","",Crédito!I132)</f>
        <v/>
      </c>
    </row>
    <row r="333" spans="1:9" ht="16.5" customHeight="1">
      <c r="A333" s="2" t="str">
        <f>IF(Crédito!A133="","","Crédito")</f>
        <v/>
      </c>
      <c r="B333" s="4" t="str">
        <f>IF(Crédito!A133="","",Crédito!A133)</f>
        <v/>
      </c>
      <c r="C333" s="2" t="str">
        <f>IF(Crédito!A133="","",Crédito!B133)</f>
        <v/>
      </c>
      <c r="D333" s="2" t="str">
        <f>IF(Crédito!A133="","",Crédito!C133)</f>
        <v/>
      </c>
      <c r="E333" s="2" t="str">
        <f>IF(Crédito!A133="","",Crédito!D133)</f>
        <v/>
      </c>
      <c r="F333" s="5" t="str">
        <f>IF(Crédito!A133="","",Crédito!E133)</f>
        <v/>
      </c>
      <c r="G333" s="2" t="str">
        <f>IF(Crédito!A133="","",Crédito!H133)</f>
        <v/>
      </c>
      <c r="H333" s="2" t="str">
        <f>IF(Crédito!A133="","",Crédito!J133)</f>
        <v/>
      </c>
      <c r="I333" s="2" t="str">
        <f>IF(Crédito!A133="","",Crédito!I133)</f>
        <v/>
      </c>
    </row>
    <row r="334" spans="1:9" ht="16.5" customHeight="1">
      <c r="A334" s="2" t="str">
        <f>IF(Crédito!A134="","","Crédito")</f>
        <v/>
      </c>
      <c r="B334" s="4" t="str">
        <f>IF(Crédito!A134="","",Crédito!A134)</f>
        <v/>
      </c>
      <c r="C334" s="2" t="str">
        <f>IF(Crédito!A134="","",Crédito!B134)</f>
        <v/>
      </c>
      <c r="D334" s="2" t="str">
        <f>IF(Crédito!A134="","",Crédito!C134)</f>
        <v/>
      </c>
      <c r="E334" s="2" t="str">
        <f>IF(Crédito!A134="","",Crédito!D134)</f>
        <v/>
      </c>
      <c r="F334" s="5" t="str">
        <f>IF(Crédito!A134="","",Crédito!E134)</f>
        <v/>
      </c>
      <c r="G334" s="2" t="str">
        <f>IF(Crédito!A134="","",Crédito!H134)</f>
        <v/>
      </c>
      <c r="H334" s="2" t="str">
        <f>IF(Crédito!A134="","",Crédito!J134)</f>
        <v/>
      </c>
      <c r="I334" s="2" t="str">
        <f>IF(Crédito!A134="","",Crédito!I134)</f>
        <v/>
      </c>
    </row>
    <row r="335" spans="1:9" ht="16.5" customHeight="1">
      <c r="A335" s="2" t="str">
        <f>IF(Crédito!A135="","","Crédito")</f>
        <v/>
      </c>
      <c r="B335" s="4" t="str">
        <f>IF(Crédito!A135="","",Crédito!A135)</f>
        <v/>
      </c>
      <c r="C335" s="2" t="str">
        <f>IF(Crédito!A135="","",Crédito!B135)</f>
        <v/>
      </c>
      <c r="D335" s="2" t="str">
        <f>IF(Crédito!A135="","",Crédito!C135)</f>
        <v/>
      </c>
      <c r="E335" s="2" t="str">
        <f>IF(Crédito!A135="","",Crédito!D135)</f>
        <v/>
      </c>
      <c r="F335" s="5" t="str">
        <f>IF(Crédito!A135="","",Crédito!E135)</f>
        <v/>
      </c>
      <c r="G335" s="2" t="str">
        <f>IF(Crédito!A135="","",Crédito!H135)</f>
        <v/>
      </c>
      <c r="H335" s="2" t="str">
        <f>IF(Crédito!A135="","",Crédito!J135)</f>
        <v/>
      </c>
      <c r="I335" s="2" t="str">
        <f>IF(Crédito!A135="","",Crédito!I135)</f>
        <v/>
      </c>
    </row>
    <row r="336" spans="1:9" ht="16.5" customHeight="1">
      <c r="A336" s="2" t="str">
        <f>IF(Crédito!A136="","","Crédito")</f>
        <v/>
      </c>
      <c r="B336" s="4" t="str">
        <f>IF(Crédito!A136="","",Crédito!A136)</f>
        <v/>
      </c>
      <c r="C336" s="2" t="str">
        <f>IF(Crédito!A136="","",Crédito!B136)</f>
        <v/>
      </c>
      <c r="D336" s="2" t="str">
        <f>IF(Crédito!A136="","",Crédito!C136)</f>
        <v/>
      </c>
      <c r="E336" s="2" t="str">
        <f>IF(Crédito!A136="","",Crédito!D136)</f>
        <v/>
      </c>
      <c r="F336" s="5" t="str">
        <f>IF(Crédito!A136="","",Crédito!E136)</f>
        <v/>
      </c>
      <c r="G336" s="2" t="str">
        <f>IF(Crédito!A136="","",Crédito!H136)</f>
        <v/>
      </c>
      <c r="H336" s="2" t="str">
        <f>IF(Crédito!A136="","",Crédito!J136)</f>
        <v/>
      </c>
      <c r="I336" s="2" t="str">
        <f>IF(Crédito!A136="","",Crédito!I136)</f>
        <v/>
      </c>
    </row>
    <row r="337" spans="1:9" ht="16.5" customHeight="1">
      <c r="A337" s="2" t="str">
        <f>IF(Crédito!A137="","","Crédito")</f>
        <v/>
      </c>
      <c r="B337" s="4" t="str">
        <f>IF(Crédito!A137="","",Crédito!A137)</f>
        <v/>
      </c>
      <c r="C337" s="2" t="str">
        <f>IF(Crédito!A137="","",Crédito!B137)</f>
        <v/>
      </c>
      <c r="D337" s="2" t="str">
        <f>IF(Crédito!A137="","",Crédito!C137)</f>
        <v/>
      </c>
      <c r="E337" s="2" t="str">
        <f>IF(Crédito!A137="","",Crédito!D137)</f>
        <v/>
      </c>
      <c r="F337" s="5" t="str">
        <f>IF(Crédito!A137="","",Crédito!E137)</f>
        <v/>
      </c>
      <c r="G337" s="2" t="str">
        <f>IF(Crédito!A137="","",Crédito!H137)</f>
        <v/>
      </c>
      <c r="H337" s="2" t="str">
        <f>IF(Crédito!A137="","",Crédito!J137)</f>
        <v/>
      </c>
      <c r="I337" s="2" t="str">
        <f>IF(Crédito!A137="","",Crédito!I137)</f>
        <v/>
      </c>
    </row>
    <row r="338" spans="1:9" ht="16.5" customHeight="1">
      <c r="A338" s="2" t="str">
        <f>IF(Crédito!A138="","","Crédito")</f>
        <v/>
      </c>
      <c r="B338" s="4" t="str">
        <f>IF(Crédito!A138="","",Crédito!A138)</f>
        <v/>
      </c>
      <c r="C338" s="2" t="str">
        <f>IF(Crédito!A138="","",Crédito!B138)</f>
        <v/>
      </c>
      <c r="D338" s="2" t="str">
        <f>IF(Crédito!A138="","",Crédito!C138)</f>
        <v/>
      </c>
      <c r="E338" s="2" t="str">
        <f>IF(Crédito!A138="","",Crédito!D138)</f>
        <v/>
      </c>
      <c r="F338" s="5" t="str">
        <f>IF(Crédito!A138="","",Crédito!E138)</f>
        <v/>
      </c>
      <c r="G338" s="2" t="str">
        <f>IF(Crédito!A138="","",Crédito!H138)</f>
        <v/>
      </c>
      <c r="H338" s="2" t="str">
        <f>IF(Crédito!A138="","",Crédito!J138)</f>
        <v/>
      </c>
      <c r="I338" s="2" t="str">
        <f>IF(Crédito!A138="","",Crédito!I138)</f>
        <v/>
      </c>
    </row>
    <row r="339" spans="1:9" ht="16.5" customHeight="1">
      <c r="A339" s="2" t="str">
        <f>IF(Crédito!A139="","","Crédito")</f>
        <v/>
      </c>
      <c r="B339" s="4" t="str">
        <f>IF(Crédito!A139="","",Crédito!A139)</f>
        <v/>
      </c>
      <c r="C339" s="2" t="str">
        <f>IF(Crédito!A139="","",Crédito!B139)</f>
        <v/>
      </c>
      <c r="D339" s="2" t="str">
        <f>IF(Crédito!A139="","",Crédito!C139)</f>
        <v/>
      </c>
      <c r="E339" s="2" t="str">
        <f>IF(Crédito!A139="","",Crédito!D139)</f>
        <v/>
      </c>
      <c r="F339" s="5" t="str">
        <f>IF(Crédito!A139="","",Crédito!E139)</f>
        <v/>
      </c>
      <c r="G339" s="2" t="str">
        <f>IF(Crédito!A139="","",Crédito!H139)</f>
        <v/>
      </c>
      <c r="H339" s="2" t="str">
        <f>IF(Crédito!A139="","",Crédito!J139)</f>
        <v/>
      </c>
      <c r="I339" s="2" t="str">
        <f>IF(Crédito!A139="","",Crédito!I139)</f>
        <v/>
      </c>
    </row>
    <row r="340" spans="1:9" ht="16.5" customHeight="1">
      <c r="A340" s="2" t="str">
        <f>IF(Crédito!A140="","","Crédito")</f>
        <v/>
      </c>
      <c r="B340" s="4" t="str">
        <f>IF(Crédito!A140="","",Crédito!A140)</f>
        <v/>
      </c>
      <c r="C340" s="2" t="str">
        <f>IF(Crédito!A140="","",Crédito!B140)</f>
        <v/>
      </c>
      <c r="D340" s="2" t="str">
        <f>IF(Crédito!A140="","",Crédito!C140)</f>
        <v/>
      </c>
      <c r="E340" s="2" t="str">
        <f>IF(Crédito!A140="","",Crédito!D140)</f>
        <v/>
      </c>
      <c r="F340" s="5" t="str">
        <f>IF(Crédito!A140="","",Crédito!E140)</f>
        <v/>
      </c>
      <c r="G340" s="2" t="str">
        <f>IF(Crédito!A140="","",Crédito!H140)</f>
        <v/>
      </c>
      <c r="H340" s="2" t="str">
        <f>IF(Crédito!A140="","",Crédito!J140)</f>
        <v/>
      </c>
      <c r="I340" s="2" t="str">
        <f>IF(Crédito!A140="","",Crédito!I140)</f>
        <v/>
      </c>
    </row>
    <row r="341" spans="1:9" ht="16.5" customHeight="1">
      <c r="A341" s="2" t="str">
        <f>IF(Crédito!A141="","","Crédito")</f>
        <v/>
      </c>
      <c r="B341" s="4" t="str">
        <f>IF(Crédito!A141="","",Crédito!A141)</f>
        <v/>
      </c>
      <c r="C341" s="2" t="str">
        <f>IF(Crédito!A141="","",Crédito!B141)</f>
        <v/>
      </c>
      <c r="D341" s="2" t="str">
        <f>IF(Crédito!A141="","",Crédito!C141)</f>
        <v/>
      </c>
      <c r="E341" s="2" t="str">
        <f>IF(Crédito!A141="","",Crédito!D141)</f>
        <v/>
      </c>
      <c r="F341" s="5" t="str">
        <f>IF(Crédito!A141="","",Crédito!E141)</f>
        <v/>
      </c>
      <c r="G341" s="2" t="str">
        <f>IF(Crédito!A141="","",Crédito!H141)</f>
        <v/>
      </c>
      <c r="H341" s="2" t="str">
        <f>IF(Crédito!A141="","",Crédito!J141)</f>
        <v/>
      </c>
      <c r="I341" s="2" t="str">
        <f>IF(Crédito!A141="","",Crédito!I141)</f>
        <v/>
      </c>
    </row>
    <row r="342" spans="1:9" ht="16.5" customHeight="1">
      <c r="A342" s="2" t="str">
        <f>IF(Crédito!A142="","","Crédito")</f>
        <v/>
      </c>
      <c r="B342" s="4" t="str">
        <f>IF(Crédito!A142="","",Crédito!A142)</f>
        <v/>
      </c>
      <c r="C342" s="2" t="str">
        <f>IF(Crédito!A142="","",Crédito!B142)</f>
        <v/>
      </c>
      <c r="D342" s="2" t="str">
        <f>IF(Crédito!A142="","",Crédito!C142)</f>
        <v/>
      </c>
      <c r="E342" s="2" t="str">
        <f>IF(Crédito!A142="","",Crédito!D142)</f>
        <v/>
      </c>
      <c r="F342" s="5" t="str">
        <f>IF(Crédito!A142="","",Crédito!E142)</f>
        <v/>
      </c>
      <c r="G342" s="2" t="str">
        <f>IF(Crédito!A142="","",Crédito!H142)</f>
        <v/>
      </c>
      <c r="H342" s="2" t="str">
        <f>IF(Crédito!A142="","",Crédito!J142)</f>
        <v/>
      </c>
      <c r="I342" s="2" t="str">
        <f>IF(Crédito!A142="","",Crédito!I142)</f>
        <v/>
      </c>
    </row>
    <row r="343" spans="1:9" ht="16.5" customHeight="1">
      <c r="A343" s="2" t="str">
        <f>IF(Crédito!A143="","","Crédito")</f>
        <v/>
      </c>
      <c r="B343" s="4" t="str">
        <f>IF(Crédito!A143="","",Crédito!A143)</f>
        <v/>
      </c>
      <c r="C343" s="2" t="str">
        <f>IF(Crédito!A143="","",Crédito!B143)</f>
        <v/>
      </c>
      <c r="D343" s="2" t="str">
        <f>IF(Crédito!A143="","",Crédito!C143)</f>
        <v/>
      </c>
      <c r="E343" s="2" t="str">
        <f>IF(Crédito!A143="","",Crédito!D143)</f>
        <v/>
      </c>
      <c r="F343" s="5" t="str">
        <f>IF(Crédito!A143="","",Crédito!E143)</f>
        <v/>
      </c>
      <c r="G343" s="2" t="str">
        <f>IF(Crédito!A143="","",Crédito!H143)</f>
        <v/>
      </c>
      <c r="H343" s="2" t="str">
        <f>IF(Crédito!A143="","",Crédito!J143)</f>
        <v/>
      </c>
      <c r="I343" s="2" t="str">
        <f>IF(Crédito!A143="","",Crédito!I143)</f>
        <v/>
      </c>
    </row>
    <row r="344" spans="1:9" ht="16.5" customHeight="1">
      <c r="A344" s="2" t="str">
        <f>IF(Crédito!A144="","","Crédito")</f>
        <v/>
      </c>
      <c r="B344" s="4" t="str">
        <f>IF(Crédito!A144="","",Crédito!A144)</f>
        <v/>
      </c>
      <c r="C344" s="2" t="str">
        <f>IF(Crédito!A144="","",Crédito!B144)</f>
        <v/>
      </c>
      <c r="D344" s="2" t="str">
        <f>IF(Crédito!A144="","",Crédito!C144)</f>
        <v/>
      </c>
      <c r="E344" s="2" t="str">
        <f>IF(Crédito!A144="","",Crédito!D144)</f>
        <v/>
      </c>
      <c r="F344" s="5" t="str">
        <f>IF(Crédito!A144="","",Crédito!E144)</f>
        <v/>
      </c>
      <c r="G344" s="2" t="str">
        <f>IF(Crédito!A144="","",Crédito!H144)</f>
        <v/>
      </c>
      <c r="H344" s="2" t="str">
        <f>IF(Crédito!A144="","",Crédito!J144)</f>
        <v/>
      </c>
      <c r="I344" s="2" t="str">
        <f>IF(Crédito!A144="","",Crédito!I144)</f>
        <v/>
      </c>
    </row>
    <row r="345" spans="1:9" ht="16.5" customHeight="1">
      <c r="A345" s="2" t="str">
        <f>IF(Crédito!A145="","","Crédito")</f>
        <v/>
      </c>
      <c r="B345" s="4" t="str">
        <f>IF(Crédito!A145="","",Crédito!A145)</f>
        <v/>
      </c>
      <c r="C345" s="2" t="str">
        <f>IF(Crédito!A145="","",Crédito!B145)</f>
        <v/>
      </c>
      <c r="D345" s="2" t="str">
        <f>IF(Crédito!A145="","",Crédito!C145)</f>
        <v/>
      </c>
      <c r="E345" s="2" t="str">
        <f>IF(Crédito!A145="","",Crédito!D145)</f>
        <v/>
      </c>
      <c r="F345" s="5" t="str">
        <f>IF(Crédito!A145="","",Crédito!E145)</f>
        <v/>
      </c>
      <c r="G345" s="2" t="str">
        <f>IF(Crédito!A145="","",Crédito!H145)</f>
        <v/>
      </c>
      <c r="H345" s="2" t="str">
        <f>IF(Crédito!A145="","",Crédito!J145)</f>
        <v/>
      </c>
      <c r="I345" s="2" t="str">
        <f>IF(Crédito!A145="","",Crédito!I145)</f>
        <v/>
      </c>
    </row>
    <row r="346" spans="1:9" ht="16.5" customHeight="1">
      <c r="A346" s="2" t="str">
        <f>IF(Crédito!A146="","","Crédito")</f>
        <v/>
      </c>
      <c r="B346" s="4" t="str">
        <f>IF(Crédito!A146="","",Crédito!A146)</f>
        <v/>
      </c>
      <c r="C346" s="2" t="str">
        <f>IF(Crédito!A146="","",Crédito!B146)</f>
        <v/>
      </c>
      <c r="D346" s="2" t="str">
        <f>IF(Crédito!A146="","",Crédito!C146)</f>
        <v/>
      </c>
      <c r="E346" s="2" t="str">
        <f>IF(Crédito!A146="","",Crédito!D146)</f>
        <v/>
      </c>
      <c r="F346" s="5" t="str">
        <f>IF(Crédito!A146="","",Crédito!E146)</f>
        <v/>
      </c>
      <c r="G346" s="2" t="str">
        <f>IF(Crédito!A146="","",Crédito!H146)</f>
        <v/>
      </c>
      <c r="H346" s="2" t="str">
        <f>IF(Crédito!A146="","",Crédito!J146)</f>
        <v/>
      </c>
      <c r="I346" s="2" t="str">
        <f>IF(Crédito!A146="","",Crédito!I146)</f>
        <v/>
      </c>
    </row>
    <row r="347" spans="1:9" ht="16.5" customHeight="1">
      <c r="A347" s="2" t="str">
        <f>IF(Crédito!A147="","","Crédito")</f>
        <v/>
      </c>
      <c r="B347" s="4" t="str">
        <f>IF(Crédito!A147="","",Crédito!A147)</f>
        <v/>
      </c>
      <c r="C347" s="2" t="str">
        <f>IF(Crédito!A147="","",Crédito!B147)</f>
        <v/>
      </c>
      <c r="D347" s="2" t="str">
        <f>IF(Crédito!A147="","",Crédito!C147)</f>
        <v/>
      </c>
      <c r="E347" s="2" t="str">
        <f>IF(Crédito!A147="","",Crédito!D147)</f>
        <v/>
      </c>
      <c r="F347" s="5" t="str">
        <f>IF(Crédito!A147="","",Crédito!E147)</f>
        <v/>
      </c>
      <c r="G347" s="2" t="str">
        <f>IF(Crédito!A147="","",Crédito!H147)</f>
        <v/>
      </c>
      <c r="H347" s="2" t="str">
        <f>IF(Crédito!A147="","",Crédito!J147)</f>
        <v/>
      </c>
      <c r="I347" s="2" t="str">
        <f>IF(Crédito!A147="","",Crédito!I147)</f>
        <v/>
      </c>
    </row>
    <row r="348" spans="1:9" ht="16.5" customHeight="1">
      <c r="A348" s="2" t="str">
        <f>IF(Crédito!A148="","","Crédito")</f>
        <v/>
      </c>
      <c r="B348" s="4" t="str">
        <f>IF(Crédito!A148="","",Crédito!A148)</f>
        <v/>
      </c>
      <c r="C348" s="2" t="str">
        <f>IF(Crédito!A148="","",Crédito!B148)</f>
        <v/>
      </c>
      <c r="D348" s="2" t="str">
        <f>IF(Crédito!A148="","",Crédito!C148)</f>
        <v/>
      </c>
      <c r="E348" s="2" t="str">
        <f>IF(Crédito!A148="","",Crédito!D148)</f>
        <v/>
      </c>
      <c r="F348" s="5" t="str">
        <f>IF(Crédito!A148="","",Crédito!E148)</f>
        <v/>
      </c>
      <c r="G348" s="2" t="str">
        <f>IF(Crédito!A148="","",Crédito!H148)</f>
        <v/>
      </c>
      <c r="H348" s="2" t="str">
        <f>IF(Crédito!A148="","",Crédito!J148)</f>
        <v/>
      </c>
      <c r="I348" s="2" t="str">
        <f>IF(Crédito!A148="","",Crédito!I148)</f>
        <v/>
      </c>
    </row>
    <row r="349" spans="1:9" ht="16.5" customHeight="1">
      <c r="A349" s="2" t="str">
        <f>IF(Crédito!A149="","","Crédito")</f>
        <v/>
      </c>
      <c r="B349" s="4" t="str">
        <f>IF(Crédito!A149="","",Crédito!A149)</f>
        <v/>
      </c>
      <c r="C349" s="2" t="str">
        <f>IF(Crédito!A149="","",Crédito!B149)</f>
        <v/>
      </c>
      <c r="D349" s="2" t="str">
        <f>IF(Crédito!A149="","",Crédito!C149)</f>
        <v/>
      </c>
      <c r="E349" s="2" t="str">
        <f>IF(Crédito!A149="","",Crédito!D149)</f>
        <v/>
      </c>
      <c r="F349" s="5" t="str">
        <f>IF(Crédito!A149="","",Crédito!E149)</f>
        <v/>
      </c>
      <c r="G349" s="2" t="str">
        <f>IF(Crédito!A149="","",Crédito!H149)</f>
        <v/>
      </c>
      <c r="H349" s="2" t="str">
        <f>IF(Crédito!A149="","",Crédito!J149)</f>
        <v/>
      </c>
      <c r="I349" s="2" t="str">
        <f>IF(Crédito!A149="","",Crédito!I149)</f>
        <v/>
      </c>
    </row>
    <row r="350" spans="1:9" ht="16.5" customHeight="1">
      <c r="A350" s="2" t="str">
        <f>IF(Crédito!A150="","","Crédito")</f>
        <v/>
      </c>
      <c r="B350" s="4" t="str">
        <f>IF(Crédito!A150="","",Crédito!A150)</f>
        <v/>
      </c>
      <c r="C350" s="2" t="str">
        <f>IF(Crédito!A150="","",Crédito!B150)</f>
        <v/>
      </c>
      <c r="D350" s="2" t="str">
        <f>IF(Crédito!A150="","",Crédito!C150)</f>
        <v/>
      </c>
      <c r="E350" s="2" t="str">
        <f>IF(Crédito!A150="","",Crédito!D150)</f>
        <v/>
      </c>
      <c r="F350" s="5" t="str">
        <f>IF(Crédito!A150="","",Crédito!E150)</f>
        <v/>
      </c>
      <c r="G350" s="2" t="str">
        <f>IF(Crédito!A150="","",Crédito!H150)</f>
        <v/>
      </c>
      <c r="H350" s="2" t="str">
        <f>IF(Crédito!A150="","",Crédito!J150)</f>
        <v/>
      </c>
      <c r="I350" s="2" t="str">
        <f>IF(Crédito!A150="","",Crédito!I150)</f>
        <v/>
      </c>
    </row>
    <row r="351" spans="1:9" ht="16.5" customHeight="1">
      <c r="A351" s="2" t="str">
        <f>IF(Crédito!A151="","","Crédito")</f>
        <v/>
      </c>
      <c r="B351" s="4" t="str">
        <f>IF(Crédito!A151="","",Crédito!A151)</f>
        <v/>
      </c>
      <c r="C351" s="2" t="str">
        <f>IF(Crédito!A151="","",Crédito!B151)</f>
        <v/>
      </c>
      <c r="D351" s="2" t="str">
        <f>IF(Crédito!A151="","",Crédito!C151)</f>
        <v/>
      </c>
      <c r="E351" s="2" t="str">
        <f>IF(Crédito!A151="","",Crédito!D151)</f>
        <v/>
      </c>
      <c r="F351" s="5" t="str">
        <f>IF(Crédito!A151="","",Crédito!E151)</f>
        <v/>
      </c>
      <c r="G351" s="2" t="str">
        <f>IF(Crédito!A151="","",Crédito!H151)</f>
        <v/>
      </c>
      <c r="H351" s="2" t="str">
        <f>IF(Crédito!A151="","",Crédito!J151)</f>
        <v/>
      </c>
      <c r="I351" s="2" t="str">
        <f>IF(Crédito!A151="","",Crédito!I151)</f>
        <v/>
      </c>
    </row>
    <row r="352" spans="1:9" ht="16.5" customHeight="1">
      <c r="A352" s="2" t="str">
        <f>IF(Crédito!A152="","","Crédito")</f>
        <v/>
      </c>
      <c r="B352" s="4" t="str">
        <f>IF(Crédito!A152="","",Crédito!A152)</f>
        <v/>
      </c>
      <c r="C352" s="2" t="str">
        <f>IF(Crédito!A152="","",Crédito!B152)</f>
        <v/>
      </c>
      <c r="D352" s="2" t="str">
        <f>IF(Crédito!A152="","",Crédito!C152)</f>
        <v/>
      </c>
      <c r="E352" s="2" t="str">
        <f>IF(Crédito!A152="","",Crédito!D152)</f>
        <v/>
      </c>
      <c r="F352" s="5" t="str">
        <f>IF(Crédito!A152="","",Crédito!E152)</f>
        <v/>
      </c>
      <c r="G352" s="2" t="str">
        <f>IF(Crédito!A152="","",Crédito!H152)</f>
        <v/>
      </c>
      <c r="H352" s="2" t="str">
        <f>IF(Crédito!A152="","",Crédito!J152)</f>
        <v/>
      </c>
      <c r="I352" s="2" t="str">
        <f>IF(Crédito!A152="","",Crédito!I152)</f>
        <v/>
      </c>
    </row>
    <row r="353" spans="1:9" ht="16.5" customHeight="1">
      <c r="A353" s="2" t="str">
        <f>IF(Crédito!A153="","","Crédito")</f>
        <v/>
      </c>
      <c r="B353" s="4" t="str">
        <f>IF(Crédito!A153="","",Crédito!A153)</f>
        <v/>
      </c>
      <c r="C353" s="2" t="str">
        <f>IF(Crédito!A153="","",Crédito!B153)</f>
        <v/>
      </c>
      <c r="D353" s="2" t="str">
        <f>IF(Crédito!A153="","",Crédito!C153)</f>
        <v/>
      </c>
      <c r="E353" s="2" t="str">
        <f>IF(Crédito!A153="","",Crédito!D153)</f>
        <v/>
      </c>
      <c r="F353" s="5" t="str">
        <f>IF(Crédito!A153="","",Crédito!E153)</f>
        <v/>
      </c>
      <c r="G353" s="2" t="str">
        <f>IF(Crédito!A153="","",Crédito!H153)</f>
        <v/>
      </c>
      <c r="H353" s="2" t="str">
        <f>IF(Crédito!A153="","",Crédito!J153)</f>
        <v/>
      </c>
      <c r="I353" s="2" t="str">
        <f>IF(Crédito!A153="","",Crédito!I153)</f>
        <v/>
      </c>
    </row>
    <row r="354" spans="1:9" ht="16.5" customHeight="1">
      <c r="A354" s="2" t="str">
        <f>IF(Crédito!A154="","","Crédito")</f>
        <v/>
      </c>
      <c r="B354" s="4" t="str">
        <f>IF(Crédito!A154="","",Crédito!A154)</f>
        <v/>
      </c>
      <c r="C354" s="2" t="str">
        <f>IF(Crédito!A154="","",Crédito!B154)</f>
        <v/>
      </c>
      <c r="D354" s="2" t="str">
        <f>IF(Crédito!A154="","",Crédito!C154)</f>
        <v/>
      </c>
      <c r="E354" s="2" t="str">
        <f>IF(Crédito!A154="","",Crédito!D154)</f>
        <v/>
      </c>
      <c r="F354" s="5" t="str">
        <f>IF(Crédito!A154="","",Crédito!E154)</f>
        <v/>
      </c>
      <c r="G354" s="2" t="str">
        <f>IF(Crédito!A154="","",Crédito!H154)</f>
        <v/>
      </c>
      <c r="H354" s="2" t="str">
        <f>IF(Crédito!A154="","",Crédito!J154)</f>
        <v/>
      </c>
      <c r="I354" s="2" t="str">
        <f>IF(Crédito!A154="","",Crédito!I154)</f>
        <v/>
      </c>
    </row>
    <row r="355" spans="1:9" ht="16.5" customHeight="1">
      <c r="A355" s="2" t="str">
        <f>IF(Crédito!A155="","","Crédito")</f>
        <v/>
      </c>
      <c r="B355" s="4" t="str">
        <f>IF(Crédito!A155="","",Crédito!A155)</f>
        <v/>
      </c>
      <c r="C355" s="2" t="str">
        <f>IF(Crédito!A155="","",Crédito!B155)</f>
        <v/>
      </c>
      <c r="D355" s="2" t="str">
        <f>IF(Crédito!A155="","",Crédito!C155)</f>
        <v/>
      </c>
      <c r="E355" s="2" t="str">
        <f>IF(Crédito!A155="","",Crédito!D155)</f>
        <v/>
      </c>
      <c r="F355" s="5" t="str">
        <f>IF(Crédito!A155="","",Crédito!E155)</f>
        <v/>
      </c>
      <c r="G355" s="2" t="str">
        <f>IF(Crédito!A155="","",Crédito!H155)</f>
        <v/>
      </c>
      <c r="H355" s="2" t="str">
        <f>IF(Crédito!A155="","",Crédito!J155)</f>
        <v/>
      </c>
      <c r="I355" s="2" t="str">
        <f>IF(Crédito!A155="","",Crédito!I155)</f>
        <v/>
      </c>
    </row>
    <row r="356" spans="1:9" ht="16.5" customHeight="1">
      <c r="A356" s="2" t="str">
        <f>IF(Crédito!A156="","","Crédito")</f>
        <v/>
      </c>
      <c r="B356" s="4" t="str">
        <f>IF(Crédito!A156="","",Crédito!A156)</f>
        <v/>
      </c>
      <c r="C356" s="2" t="str">
        <f>IF(Crédito!A156="","",Crédito!B156)</f>
        <v/>
      </c>
      <c r="D356" s="2" t="str">
        <f>IF(Crédito!A156="","",Crédito!C156)</f>
        <v/>
      </c>
      <c r="E356" s="2" t="str">
        <f>IF(Crédito!A156="","",Crédito!D156)</f>
        <v/>
      </c>
      <c r="F356" s="5" t="str">
        <f>IF(Crédito!A156="","",Crédito!E156)</f>
        <v/>
      </c>
      <c r="G356" s="2" t="str">
        <f>IF(Crédito!A156="","",Crédito!H156)</f>
        <v/>
      </c>
      <c r="H356" s="2" t="str">
        <f>IF(Crédito!A156="","",Crédito!J156)</f>
        <v/>
      </c>
      <c r="I356" s="2" t="str">
        <f>IF(Crédito!A156="","",Crédito!I156)</f>
        <v/>
      </c>
    </row>
    <row r="357" spans="1:9" ht="16.5" customHeight="1">
      <c r="A357" s="2" t="str">
        <f>IF(Crédito!A157="","","Crédito")</f>
        <v/>
      </c>
      <c r="B357" s="4" t="str">
        <f>IF(Crédito!A157="","",Crédito!A157)</f>
        <v/>
      </c>
      <c r="C357" s="2" t="str">
        <f>IF(Crédito!A157="","",Crédito!B157)</f>
        <v/>
      </c>
      <c r="D357" s="2" t="str">
        <f>IF(Crédito!A157="","",Crédito!C157)</f>
        <v/>
      </c>
      <c r="E357" s="2" t="str">
        <f>IF(Crédito!A157="","",Crédito!D157)</f>
        <v/>
      </c>
      <c r="F357" s="5" t="str">
        <f>IF(Crédito!A157="","",Crédito!E157)</f>
        <v/>
      </c>
      <c r="G357" s="2" t="str">
        <f>IF(Crédito!A157="","",Crédito!H157)</f>
        <v/>
      </c>
      <c r="H357" s="2" t="str">
        <f>IF(Crédito!A157="","",Crédito!J157)</f>
        <v/>
      </c>
      <c r="I357" s="2" t="str">
        <f>IF(Crédito!A157="","",Crédito!I157)</f>
        <v/>
      </c>
    </row>
    <row r="358" spans="1:9" ht="16.5" customHeight="1">
      <c r="A358" s="2" t="str">
        <f>IF(Crédito!A158="","","Crédito")</f>
        <v/>
      </c>
      <c r="B358" s="4" t="str">
        <f>IF(Crédito!A158="","",Crédito!A158)</f>
        <v/>
      </c>
      <c r="C358" s="2" t="str">
        <f>IF(Crédito!A158="","",Crédito!B158)</f>
        <v/>
      </c>
      <c r="D358" s="2" t="str">
        <f>IF(Crédito!A158="","",Crédito!C158)</f>
        <v/>
      </c>
      <c r="E358" s="2" t="str">
        <f>IF(Crédito!A158="","",Crédito!D158)</f>
        <v/>
      </c>
      <c r="F358" s="5" t="str">
        <f>IF(Crédito!A158="","",Crédito!E158)</f>
        <v/>
      </c>
      <c r="G358" s="2" t="str">
        <f>IF(Crédito!A158="","",Crédito!H158)</f>
        <v/>
      </c>
      <c r="H358" s="2" t="str">
        <f>IF(Crédito!A158="","",Crédito!J158)</f>
        <v/>
      </c>
      <c r="I358" s="2" t="str">
        <f>IF(Crédito!A158="","",Crédito!I158)</f>
        <v/>
      </c>
    </row>
    <row r="359" spans="1:9" ht="16.5" customHeight="1">
      <c r="A359" s="2" t="str">
        <f>IF(Crédito!A159="","","Crédito")</f>
        <v/>
      </c>
      <c r="B359" s="4" t="str">
        <f>IF(Crédito!A159="","",Crédito!A159)</f>
        <v/>
      </c>
      <c r="C359" s="2" t="str">
        <f>IF(Crédito!A159="","",Crédito!B159)</f>
        <v/>
      </c>
      <c r="D359" s="2" t="str">
        <f>IF(Crédito!A159="","",Crédito!C159)</f>
        <v/>
      </c>
      <c r="E359" s="2" t="str">
        <f>IF(Crédito!A159="","",Crédito!D159)</f>
        <v/>
      </c>
      <c r="F359" s="5" t="str">
        <f>IF(Crédito!A159="","",Crédito!E159)</f>
        <v/>
      </c>
      <c r="G359" s="2" t="str">
        <f>IF(Crédito!A159="","",Crédito!H159)</f>
        <v/>
      </c>
      <c r="H359" s="2" t="str">
        <f>IF(Crédito!A159="","",Crédito!J159)</f>
        <v/>
      </c>
      <c r="I359" s="2" t="str">
        <f>IF(Crédito!A159="","",Crédito!I159)</f>
        <v/>
      </c>
    </row>
    <row r="360" spans="1:9" ht="16.5" customHeight="1">
      <c r="A360" s="2" t="str">
        <f>IF(Crédito!A160="","","Crédito")</f>
        <v/>
      </c>
      <c r="B360" s="4" t="str">
        <f>IF(Crédito!A160="","",Crédito!A160)</f>
        <v/>
      </c>
      <c r="C360" s="2" t="str">
        <f>IF(Crédito!A160="","",Crédito!B160)</f>
        <v/>
      </c>
      <c r="D360" s="2" t="str">
        <f>IF(Crédito!A160="","",Crédito!C160)</f>
        <v/>
      </c>
      <c r="E360" s="2" t="str">
        <f>IF(Crédito!A160="","",Crédito!D160)</f>
        <v/>
      </c>
      <c r="F360" s="5" t="str">
        <f>IF(Crédito!A160="","",Crédito!E160)</f>
        <v/>
      </c>
      <c r="G360" s="2" t="str">
        <f>IF(Crédito!A160="","",Crédito!H160)</f>
        <v/>
      </c>
      <c r="H360" s="2" t="str">
        <f>IF(Crédito!A160="","",Crédito!J160)</f>
        <v/>
      </c>
      <c r="I360" s="2" t="str">
        <f>IF(Crédito!A160="","",Crédito!I160)</f>
        <v/>
      </c>
    </row>
    <row r="361" spans="1:9" ht="16.5" customHeight="1">
      <c r="A361" s="2" t="str">
        <f>IF(Crédito!A161="","","Crédito")</f>
        <v/>
      </c>
      <c r="B361" s="4" t="str">
        <f>IF(Crédito!A161="","",Crédito!A161)</f>
        <v/>
      </c>
      <c r="C361" s="2" t="str">
        <f>IF(Crédito!A161="","",Crédito!B161)</f>
        <v/>
      </c>
      <c r="D361" s="2" t="str">
        <f>IF(Crédito!A161="","",Crédito!C161)</f>
        <v/>
      </c>
      <c r="E361" s="2" t="str">
        <f>IF(Crédito!A161="","",Crédito!D161)</f>
        <v/>
      </c>
      <c r="F361" s="5" t="str">
        <f>IF(Crédito!A161="","",Crédito!E161)</f>
        <v/>
      </c>
      <c r="G361" s="2" t="str">
        <f>IF(Crédito!A161="","",Crédito!H161)</f>
        <v/>
      </c>
      <c r="H361" s="2" t="str">
        <f>IF(Crédito!A161="","",Crédito!J161)</f>
        <v/>
      </c>
      <c r="I361" s="2" t="str">
        <f>IF(Crédito!A161="","",Crédito!I161)</f>
        <v/>
      </c>
    </row>
    <row r="362" spans="1:9" ht="16.5" customHeight="1">
      <c r="A362" s="2" t="str">
        <f>IF(Crédito!A162="","","Crédito")</f>
        <v/>
      </c>
      <c r="B362" s="4" t="str">
        <f>IF(Crédito!A162="","",Crédito!A162)</f>
        <v/>
      </c>
      <c r="C362" s="2" t="str">
        <f>IF(Crédito!A162="","",Crédito!B162)</f>
        <v/>
      </c>
      <c r="D362" s="2" t="str">
        <f>IF(Crédito!A162="","",Crédito!C162)</f>
        <v/>
      </c>
      <c r="E362" s="2" t="str">
        <f>IF(Crédito!A162="","",Crédito!D162)</f>
        <v/>
      </c>
      <c r="F362" s="5" t="str">
        <f>IF(Crédito!A162="","",Crédito!E162)</f>
        <v/>
      </c>
      <c r="G362" s="2" t="str">
        <f>IF(Crédito!A162="","",Crédito!H162)</f>
        <v/>
      </c>
      <c r="H362" s="2" t="str">
        <f>IF(Crédito!A162="","",Crédito!J162)</f>
        <v/>
      </c>
      <c r="I362" s="2" t="str">
        <f>IF(Crédito!A162="","",Crédito!I162)</f>
        <v/>
      </c>
    </row>
    <row r="363" spans="1:9" ht="16.5" customHeight="1">
      <c r="A363" s="2" t="str">
        <f>IF(Crédito!A163="","","Crédito")</f>
        <v/>
      </c>
      <c r="B363" s="4" t="str">
        <f>IF(Crédito!A163="","",Crédito!A163)</f>
        <v/>
      </c>
      <c r="C363" s="2" t="str">
        <f>IF(Crédito!A163="","",Crédito!B163)</f>
        <v/>
      </c>
      <c r="D363" s="2" t="str">
        <f>IF(Crédito!A163="","",Crédito!C163)</f>
        <v/>
      </c>
      <c r="E363" s="2" t="str">
        <f>IF(Crédito!A163="","",Crédito!D163)</f>
        <v/>
      </c>
      <c r="F363" s="5" t="str">
        <f>IF(Crédito!A163="","",Crédito!E163)</f>
        <v/>
      </c>
      <c r="G363" s="2" t="str">
        <f>IF(Crédito!A163="","",Crédito!H163)</f>
        <v/>
      </c>
      <c r="H363" s="2" t="str">
        <f>IF(Crédito!A163="","",Crédito!J163)</f>
        <v/>
      </c>
      <c r="I363" s="2" t="str">
        <f>IF(Crédito!A163="","",Crédito!I163)</f>
        <v/>
      </c>
    </row>
    <row r="364" spans="1:9" ht="16.5" customHeight="1">
      <c r="A364" s="2" t="str">
        <f>IF(Crédito!A164="","","Crédito")</f>
        <v/>
      </c>
      <c r="B364" s="4" t="str">
        <f>IF(Crédito!A164="","",Crédito!A164)</f>
        <v/>
      </c>
      <c r="C364" s="2" t="str">
        <f>IF(Crédito!A164="","",Crédito!B164)</f>
        <v/>
      </c>
      <c r="D364" s="2" t="str">
        <f>IF(Crédito!A164="","",Crédito!C164)</f>
        <v/>
      </c>
      <c r="E364" s="2" t="str">
        <f>IF(Crédito!A164="","",Crédito!D164)</f>
        <v/>
      </c>
      <c r="F364" s="5" t="str">
        <f>IF(Crédito!A164="","",Crédito!E164)</f>
        <v/>
      </c>
      <c r="G364" s="2" t="str">
        <f>IF(Crédito!A164="","",Crédito!H164)</f>
        <v/>
      </c>
      <c r="H364" s="2" t="str">
        <f>IF(Crédito!A164="","",Crédito!J164)</f>
        <v/>
      </c>
      <c r="I364" s="2" t="str">
        <f>IF(Crédito!A164="","",Crédito!I164)</f>
        <v/>
      </c>
    </row>
    <row r="365" spans="1:9" ht="16.5" customHeight="1">
      <c r="A365" s="2" t="str">
        <f>IF(Crédito!A165="","","Crédito")</f>
        <v/>
      </c>
      <c r="B365" s="4" t="str">
        <f>IF(Crédito!A165="","",Crédito!A165)</f>
        <v/>
      </c>
      <c r="C365" s="2" t="str">
        <f>IF(Crédito!A165="","",Crédito!B165)</f>
        <v/>
      </c>
      <c r="D365" s="2" t="str">
        <f>IF(Crédito!A165="","",Crédito!C165)</f>
        <v/>
      </c>
      <c r="E365" s="2" t="str">
        <f>IF(Crédito!A165="","",Crédito!D165)</f>
        <v/>
      </c>
      <c r="F365" s="5" t="str">
        <f>IF(Crédito!A165="","",Crédito!E165)</f>
        <v/>
      </c>
      <c r="G365" s="2" t="str">
        <f>IF(Crédito!A165="","",Crédito!H165)</f>
        <v/>
      </c>
      <c r="H365" s="2" t="str">
        <f>IF(Crédito!A165="","",Crédito!J165)</f>
        <v/>
      </c>
      <c r="I365" s="2" t="str">
        <f>IF(Crédito!A165="","",Crédito!I165)</f>
        <v/>
      </c>
    </row>
    <row r="366" spans="1:9" ht="16.5" customHeight="1">
      <c r="A366" s="2" t="str">
        <f>IF(Crédito!A166="","","Crédito")</f>
        <v/>
      </c>
      <c r="B366" s="4" t="str">
        <f>IF(Crédito!A166="","",Crédito!A166)</f>
        <v/>
      </c>
      <c r="C366" s="2" t="str">
        <f>IF(Crédito!A166="","",Crédito!B166)</f>
        <v/>
      </c>
      <c r="D366" s="2" t="str">
        <f>IF(Crédito!A166="","",Crédito!C166)</f>
        <v/>
      </c>
      <c r="E366" s="2" t="str">
        <f>IF(Crédito!A166="","",Crédito!D166)</f>
        <v/>
      </c>
      <c r="F366" s="5" t="str">
        <f>IF(Crédito!A166="","",Crédito!E166)</f>
        <v/>
      </c>
      <c r="G366" s="2" t="str">
        <f>IF(Crédito!A166="","",Crédito!H166)</f>
        <v/>
      </c>
      <c r="H366" s="2" t="str">
        <f>IF(Crédito!A166="","",Crédito!J166)</f>
        <v/>
      </c>
      <c r="I366" s="2" t="str">
        <f>IF(Crédito!A166="","",Crédito!I166)</f>
        <v/>
      </c>
    </row>
    <row r="367" spans="1:9" ht="16.5" customHeight="1">
      <c r="A367" s="2" t="str">
        <f>IF(Crédito!A167="","","Crédito")</f>
        <v/>
      </c>
      <c r="B367" s="4" t="str">
        <f>IF(Crédito!A167="","",Crédito!A167)</f>
        <v/>
      </c>
      <c r="C367" s="2" t="str">
        <f>IF(Crédito!A167="","",Crédito!B167)</f>
        <v/>
      </c>
      <c r="D367" s="2" t="str">
        <f>IF(Crédito!A167="","",Crédito!C167)</f>
        <v/>
      </c>
      <c r="E367" s="2" t="str">
        <f>IF(Crédito!A167="","",Crédito!D167)</f>
        <v/>
      </c>
      <c r="F367" s="5" t="str">
        <f>IF(Crédito!A167="","",Crédito!E167)</f>
        <v/>
      </c>
      <c r="G367" s="2" t="str">
        <f>IF(Crédito!A167="","",Crédito!H167)</f>
        <v/>
      </c>
      <c r="H367" s="2" t="str">
        <f>IF(Crédito!A167="","",Crédito!J167)</f>
        <v/>
      </c>
      <c r="I367" s="2" t="str">
        <f>IF(Crédito!A167="","",Crédito!I167)</f>
        <v/>
      </c>
    </row>
    <row r="368" spans="1:9" ht="16.5" customHeight="1">
      <c r="A368" s="2" t="str">
        <f>IF(Crédito!A168="","","Crédito")</f>
        <v/>
      </c>
      <c r="B368" s="4" t="str">
        <f>IF(Crédito!A168="","",Crédito!A168)</f>
        <v/>
      </c>
      <c r="C368" s="2" t="str">
        <f>IF(Crédito!A168="","",Crédito!B168)</f>
        <v/>
      </c>
      <c r="D368" s="2" t="str">
        <f>IF(Crédito!A168="","",Crédito!C168)</f>
        <v/>
      </c>
      <c r="E368" s="2" t="str">
        <f>IF(Crédito!A168="","",Crédito!D168)</f>
        <v/>
      </c>
      <c r="F368" s="5" t="str">
        <f>IF(Crédito!A168="","",Crédito!E168)</f>
        <v/>
      </c>
      <c r="G368" s="2" t="str">
        <f>IF(Crédito!A168="","",Crédito!H168)</f>
        <v/>
      </c>
      <c r="H368" s="2" t="str">
        <f>IF(Crédito!A168="","",Crédito!J168)</f>
        <v/>
      </c>
      <c r="I368" s="2" t="str">
        <f>IF(Crédito!A168="","",Crédito!I168)</f>
        <v/>
      </c>
    </row>
    <row r="369" spans="1:9" ht="16.5" customHeight="1">
      <c r="A369" s="2" t="str">
        <f>IF(Crédito!A169="","","Crédito")</f>
        <v/>
      </c>
      <c r="B369" s="4" t="str">
        <f>IF(Crédito!A169="","",Crédito!A169)</f>
        <v/>
      </c>
      <c r="C369" s="2" t="str">
        <f>IF(Crédito!A169="","",Crédito!B169)</f>
        <v/>
      </c>
      <c r="D369" s="2" t="str">
        <f>IF(Crédito!A169="","",Crédito!C169)</f>
        <v/>
      </c>
      <c r="E369" s="2" t="str">
        <f>IF(Crédito!A169="","",Crédito!D169)</f>
        <v/>
      </c>
      <c r="F369" s="5" t="str">
        <f>IF(Crédito!A169="","",Crédito!E169)</f>
        <v/>
      </c>
      <c r="G369" s="2" t="str">
        <f>IF(Crédito!A169="","",Crédito!H169)</f>
        <v/>
      </c>
      <c r="H369" s="2" t="str">
        <f>IF(Crédito!A169="","",Crédito!J169)</f>
        <v/>
      </c>
      <c r="I369" s="2" t="str">
        <f>IF(Crédito!A169="","",Crédito!I169)</f>
        <v/>
      </c>
    </row>
    <row r="370" spans="1:9" ht="16.5" customHeight="1">
      <c r="A370" s="2" t="str">
        <f>IF(Crédito!A170="","","Crédito")</f>
        <v/>
      </c>
      <c r="B370" s="4" t="str">
        <f>IF(Crédito!A170="","",Crédito!A170)</f>
        <v/>
      </c>
      <c r="C370" s="2" t="str">
        <f>IF(Crédito!A170="","",Crédito!B170)</f>
        <v/>
      </c>
      <c r="D370" s="2" t="str">
        <f>IF(Crédito!A170="","",Crédito!C170)</f>
        <v/>
      </c>
      <c r="E370" s="2" t="str">
        <f>IF(Crédito!A170="","",Crédito!D170)</f>
        <v/>
      </c>
      <c r="F370" s="5" t="str">
        <f>IF(Crédito!A170="","",Crédito!E170)</f>
        <v/>
      </c>
      <c r="G370" s="2" t="str">
        <f>IF(Crédito!A170="","",Crédito!H170)</f>
        <v/>
      </c>
      <c r="H370" s="2" t="str">
        <f>IF(Crédito!A170="","",Crédito!J170)</f>
        <v/>
      </c>
      <c r="I370" s="2" t="str">
        <f>IF(Crédito!A170="","",Crédito!I170)</f>
        <v/>
      </c>
    </row>
    <row r="371" spans="1:9" ht="16.5" customHeight="1">
      <c r="A371" s="2" t="str">
        <f>IF(Crédito!A171="","","Crédito")</f>
        <v/>
      </c>
      <c r="B371" s="4" t="str">
        <f>IF(Crédito!A171="","",Crédito!A171)</f>
        <v/>
      </c>
      <c r="C371" s="2" t="str">
        <f>IF(Crédito!A171="","",Crédito!B171)</f>
        <v/>
      </c>
      <c r="D371" s="2" t="str">
        <f>IF(Crédito!A171="","",Crédito!C171)</f>
        <v/>
      </c>
      <c r="E371" s="2" t="str">
        <f>IF(Crédito!A171="","",Crédito!D171)</f>
        <v/>
      </c>
      <c r="F371" s="5" t="str">
        <f>IF(Crédito!A171="","",Crédito!E171)</f>
        <v/>
      </c>
      <c r="G371" s="2" t="str">
        <f>IF(Crédito!A171="","",Crédito!H171)</f>
        <v/>
      </c>
      <c r="H371" s="2" t="str">
        <f>IF(Crédito!A171="","",Crédito!J171)</f>
        <v/>
      </c>
      <c r="I371" s="2" t="str">
        <f>IF(Crédito!A171="","",Crédito!I171)</f>
        <v/>
      </c>
    </row>
    <row r="372" spans="1:9" ht="16.5" customHeight="1">
      <c r="A372" s="2" t="str">
        <f>IF(Crédito!A172="","","Crédito")</f>
        <v/>
      </c>
      <c r="B372" s="4" t="str">
        <f>IF(Crédito!A172="","",Crédito!A172)</f>
        <v/>
      </c>
      <c r="C372" s="2" t="str">
        <f>IF(Crédito!A172="","",Crédito!B172)</f>
        <v/>
      </c>
      <c r="D372" s="2" t="str">
        <f>IF(Crédito!A172="","",Crédito!C172)</f>
        <v/>
      </c>
      <c r="E372" s="2" t="str">
        <f>IF(Crédito!A172="","",Crédito!D172)</f>
        <v/>
      </c>
      <c r="F372" s="5" t="str">
        <f>IF(Crédito!A172="","",Crédito!E172)</f>
        <v/>
      </c>
      <c r="G372" s="2" t="str">
        <f>IF(Crédito!A172="","",Crédito!H172)</f>
        <v/>
      </c>
      <c r="H372" s="2" t="str">
        <f>IF(Crédito!A172="","",Crédito!J172)</f>
        <v/>
      </c>
      <c r="I372" s="2" t="str">
        <f>IF(Crédito!A172="","",Crédito!I172)</f>
        <v/>
      </c>
    </row>
    <row r="373" spans="1:9" ht="16.5" customHeight="1">
      <c r="A373" s="2" t="str">
        <f>IF(Crédito!A173="","","Crédito")</f>
        <v/>
      </c>
      <c r="B373" s="4" t="str">
        <f>IF(Crédito!A173="","",Crédito!A173)</f>
        <v/>
      </c>
      <c r="C373" s="2" t="str">
        <f>IF(Crédito!A173="","",Crédito!B173)</f>
        <v/>
      </c>
      <c r="D373" s="2" t="str">
        <f>IF(Crédito!A173="","",Crédito!C173)</f>
        <v/>
      </c>
      <c r="E373" s="2" t="str">
        <f>IF(Crédito!A173="","",Crédito!D173)</f>
        <v/>
      </c>
      <c r="F373" s="5" t="str">
        <f>IF(Crédito!A173="","",Crédito!E173)</f>
        <v/>
      </c>
      <c r="G373" s="2" t="str">
        <f>IF(Crédito!A173="","",Crédito!H173)</f>
        <v/>
      </c>
      <c r="H373" s="2" t="str">
        <f>IF(Crédito!A173="","",Crédito!J173)</f>
        <v/>
      </c>
      <c r="I373" s="2" t="str">
        <f>IF(Crédito!A173="","",Crédito!I173)</f>
        <v/>
      </c>
    </row>
    <row r="374" spans="1:9" ht="16.5" customHeight="1">
      <c r="A374" s="2" t="str">
        <f>IF(Crédito!A174="","","Crédito")</f>
        <v/>
      </c>
      <c r="B374" s="4" t="str">
        <f>IF(Crédito!A174="","",Crédito!A174)</f>
        <v/>
      </c>
      <c r="C374" s="2" t="str">
        <f>IF(Crédito!A174="","",Crédito!B174)</f>
        <v/>
      </c>
      <c r="D374" s="2" t="str">
        <f>IF(Crédito!A174="","",Crédito!C174)</f>
        <v/>
      </c>
      <c r="E374" s="2" t="str">
        <f>IF(Crédito!A174="","",Crédito!D174)</f>
        <v/>
      </c>
      <c r="F374" s="5" t="str">
        <f>IF(Crédito!A174="","",Crédito!E174)</f>
        <v/>
      </c>
      <c r="G374" s="2" t="str">
        <f>IF(Crédito!A174="","",Crédito!H174)</f>
        <v/>
      </c>
      <c r="H374" s="2" t="str">
        <f>IF(Crédito!A174="","",Crédito!J174)</f>
        <v/>
      </c>
      <c r="I374" s="2" t="str">
        <f>IF(Crédito!A174="","",Crédito!I174)</f>
        <v/>
      </c>
    </row>
    <row r="375" spans="1:9" ht="16.5" customHeight="1">
      <c r="A375" s="2" t="str">
        <f>IF(Crédito!A175="","","Crédito")</f>
        <v/>
      </c>
      <c r="B375" s="4" t="str">
        <f>IF(Crédito!A175="","",Crédito!A175)</f>
        <v/>
      </c>
      <c r="C375" s="2" t="str">
        <f>IF(Crédito!A175="","",Crédito!B175)</f>
        <v/>
      </c>
      <c r="D375" s="2" t="str">
        <f>IF(Crédito!A175="","",Crédito!C175)</f>
        <v/>
      </c>
      <c r="E375" s="2" t="str">
        <f>IF(Crédito!A175="","",Crédito!D175)</f>
        <v/>
      </c>
      <c r="F375" s="5" t="str">
        <f>IF(Crédito!A175="","",Crédito!E175)</f>
        <v/>
      </c>
      <c r="G375" s="2" t="str">
        <f>IF(Crédito!A175="","",Crédito!H175)</f>
        <v/>
      </c>
      <c r="H375" s="2" t="str">
        <f>IF(Crédito!A175="","",Crédito!J175)</f>
        <v/>
      </c>
      <c r="I375" s="2" t="str">
        <f>IF(Crédito!A175="","",Crédito!I175)</f>
        <v/>
      </c>
    </row>
    <row r="376" spans="1:9" ht="16.5" customHeight="1">
      <c r="A376" s="2" t="str">
        <f>IF(Crédito!A176="","","Crédito")</f>
        <v/>
      </c>
      <c r="B376" s="4" t="str">
        <f>IF(Crédito!A176="","",Crédito!A176)</f>
        <v/>
      </c>
      <c r="C376" s="2" t="str">
        <f>IF(Crédito!A176="","",Crédito!B176)</f>
        <v/>
      </c>
      <c r="D376" s="2" t="str">
        <f>IF(Crédito!A176="","",Crédito!C176)</f>
        <v/>
      </c>
      <c r="E376" s="2" t="str">
        <f>IF(Crédito!A176="","",Crédito!D176)</f>
        <v/>
      </c>
      <c r="F376" s="5" t="str">
        <f>IF(Crédito!A176="","",Crédito!E176)</f>
        <v/>
      </c>
      <c r="G376" s="2" t="str">
        <f>IF(Crédito!A176="","",Crédito!H176)</f>
        <v/>
      </c>
      <c r="H376" s="2" t="str">
        <f>IF(Crédito!A176="","",Crédito!J176)</f>
        <v/>
      </c>
      <c r="I376" s="2" t="str">
        <f>IF(Crédito!A176="","",Crédito!I176)</f>
        <v/>
      </c>
    </row>
    <row r="377" spans="1:9" ht="16.5" customHeight="1">
      <c r="A377" s="2" t="str">
        <f>IF(Crédito!A177="","","Crédito")</f>
        <v/>
      </c>
      <c r="B377" s="4" t="str">
        <f>IF(Crédito!A177="","",Crédito!A177)</f>
        <v/>
      </c>
      <c r="C377" s="2" t="str">
        <f>IF(Crédito!A177="","",Crédito!B177)</f>
        <v/>
      </c>
      <c r="D377" s="2" t="str">
        <f>IF(Crédito!A177="","",Crédito!C177)</f>
        <v/>
      </c>
      <c r="E377" s="2" t="str">
        <f>IF(Crédito!A177="","",Crédito!D177)</f>
        <v/>
      </c>
      <c r="F377" s="5" t="str">
        <f>IF(Crédito!A177="","",Crédito!E177)</f>
        <v/>
      </c>
      <c r="G377" s="2" t="str">
        <f>IF(Crédito!A177="","",Crédito!H177)</f>
        <v/>
      </c>
      <c r="H377" s="2" t="str">
        <f>IF(Crédito!A177="","",Crédito!J177)</f>
        <v/>
      </c>
      <c r="I377" s="2" t="str">
        <f>IF(Crédito!A177="","",Crédito!I177)</f>
        <v/>
      </c>
    </row>
    <row r="378" spans="1:9" ht="16.5" customHeight="1">
      <c r="A378" s="2" t="str">
        <f>IF(Crédito!A178="","","Crédito")</f>
        <v/>
      </c>
      <c r="B378" s="4" t="str">
        <f>IF(Crédito!A178="","",Crédito!A178)</f>
        <v/>
      </c>
      <c r="C378" s="2" t="str">
        <f>IF(Crédito!A178="","",Crédito!B178)</f>
        <v/>
      </c>
      <c r="D378" s="2" t="str">
        <f>IF(Crédito!A178="","",Crédito!C178)</f>
        <v/>
      </c>
      <c r="E378" s="2" t="str">
        <f>IF(Crédito!A178="","",Crédito!D178)</f>
        <v/>
      </c>
      <c r="F378" s="5" t="str">
        <f>IF(Crédito!A178="","",Crédito!E178)</f>
        <v/>
      </c>
      <c r="G378" s="2" t="str">
        <f>IF(Crédito!A178="","",Crédito!H178)</f>
        <v/>
      </c>
      <c r="H378" s="2" t="str">
        <f>IF(Crédito!A178="","",Crédito!J178)</f>
        <v/>
      </c>
      <c r="I378" s="2" t="str">
        <f>IF(Crédito!A178="","",Crédito!I178)</f>
        <v/>
      </c>
    </row>
    <row r="379" spans="1:9" ht="16.5" customHeight="1">
      <c r="A379" s="2" t="str">
        <f>IF(Crédito!A179="","","Crédito")</f>
        <v/>
      </c>
      <c r="B379" s="4" t="str">
        <f>IF(Crédito!A179="","",Crédito!A179)</f>
        <v/>
      </c>
      <c r="C379" s="2" t="str">
        <f>IF(Crédito!A179="","",Crédito!B179)</f>
        <v/>
      </c>
      <c r="D379" s="2" t="str">
        <f>IF(Crédito!A179="","",Crédito!C179)</f>
        <v/>
      </c>
      <c r="E379" s="2" t="str">
        <f>IF(Crédito!A179="","",Crédito!D179)</f>
        <v/>
      </c>
      <c r="F379" s="5" t="str">
        <f>IF(Crédito!A179="","",Crédito!E179)</f>
        <v/>
      </c>
      <c r="G379" s="2" t="str">
        <f>IF(Crédito!A179="","",Crédito!H179)</f>
        <v/>
      </c>
      <c r="H379" s="2" t="str">
        <f>IF(Crédito!A179="","",Crédito!J179)</f>
        <v/>
      </c>
      <c r="I379" s="2" t="str">
        <f>IF(Crédito!A179="","",Crédito!I179)</f>
        <v/>
      </c>
    </row>
    <row r="380" spans="1:9" ht="16.5" customHeight="1">
      <c r="A380" s="2" t="str">
        <f>IF(Crédito!A180="","","Crédito")</f>
        <v/>
      </c>
      <c r="B380" s="4" t="str">
        <f>IF(Crédito!A180="","",Crédito!A180)</f>
        <v/>
      </c>
      <c r="C380" s="2" t="str">
        <f>IF(Crédito!A180="","",Crédito!B180)</f>
        <v/>
      </c>
      <c r="D380" s="2" t="str">
        <f>IF(Crédito!A180="","",Crédito!C180)</f>
        <v/>
      </c>
      <c r="E380" s="2" t="str">
        <f>IF(Crédito!A180="","",Crédito!D180)</f>
        <v/>
      </c>
      <c r="F380" s="5" t="str">
        <f>IF(Crédito!A180="","",Crédito!E180)</f>
        <v/>
      </c>
      <c r="G380" s="2" t="str">
        <f>IF(Crédito!A180="","",Crédito!H180)</f>
        <v/>
      </c>
      <c r="H380" s="2" t="str">
        <f>IF(Crédito!A180="","",Crédito!J180)</f>
        <v/>
      </c>
      <c r="I380" s="2" t="str">
        <f>IF(Crédito!A180="","",Crédito!I180)</f>
        <v/>
      </c>
    </row>
    <row r="381" spans="1:9" ht="16.5" customHeight="1">
      <c r="A381" s="2" t="str">
        <f>IF(Crédito!A181="","","Crédito")</f>
        <v/>
      </c>
      <c r="B381" s="4" t="str">
        <f>IF(Crédito!A181="","",Crédito!A181)</f>
        <v/>
      </c>
      <c r="C381" s="2" t="str">
        <f>IF(Crédito!A181="","",Crédito!B181)</f>
        <v/>
      </c>
      <c r="D381" s="2" t="str">
        <f>IF(Crédito!A181="","",Crédito!C181)</f>
        <v/>
      </c>
      <c r="E381" s="2" t="str">
        <f>IF(Crédito!A181="","",Crédito!D181)</f>
        <v/>
      </c>
      <c r="F381" s="5" t="str">
        <f>IF(Crédito!A181="","",Crédito!E181)</f>
        <v/>
      </c>
      <c r="G381" s="2" t="str">
        <f>IF(Crédito!A181="","",Crédito!H181)</f>
        <v/>
      </c>
      <c r="H381" s="2" t="str">
        <f>IF(Crédito!A181="","",Crédito!J181)</f>
        <v/>
      </c>
      <c r="I381" s="2" t="str">
        <f>IF(Crédito!A181="","",Crédito!I181)</f>
        <v/>
      </c>
    </row>
    <row r="382" spans="1:9" ht="16.5" customHeight="1">
      <c r="A382" s="2" t="str">
        <f>IF(Crédito!A182="","","Crédito")</f>
        <v/>
      </c>
      <c r="B382" s="4" t="str">
        <f>IF(Crédito!A182="","",Crédito!A182)</f>
        <v/>
      </c>
      <c r="C382" s="2" t="str">
        <f>IF(Crédito!A182="","",Crédito!B182)</f>
        <v/>
      </c>
      <c r="D382" s="2" t="str">
        <f>IF(Crédito!A182="","",Crédito!C182)</f>
        <v/>
      </c>
      <c r="E382" s="2" t="str">
        <f>IF(Crédito!A182="","",Crédito!D182)</f>
        <v/>
      </c>
      <c r="F382" s="5" t="str">
        <f>IF(Crédito!A182="","",Crédito!E182)</f>
        <v/>
      </c>
      <c r="G382" s="2" t="str">
        <f>IF(Crédito!A182="","",Crédito!H182)</f>
        <v/>
      </c>
      <c r="H382" s="2" t="str">
        <f>IF(Crédito!A182="","",Crédito!J182)</f>
        <v/>
      </c>
      <c r="I382" s="2" t="str">
        <f>IF(Crédito!A182="","",Crédito!I182)</f>
        <v/>
      </c>
    </row>
    <row r="383" spans="1:9" ht="16.5" customHeight="1">
      <c r="A383" s="2" t="str">
        <f>IF(Crédito!A183="","","Crédito")</f>
        <v/>
      </c>
      <c r="B383" s="4" t="str">
        <f>IF(Crédito!A183="","",Crédito!A183)</f>
        <v/>
      </c>
      <c r="C383" s="2" t="str">
        <f>IF(Crédito!A183="","",Crédito!B183)</f>
        <v/>
      </c>
      <c r="D383" s="2" t="str">
        <f>IF(Crédito!A183="","",Crédito!C183)</f>
        <v/>
      </c>
      <c r="E383" s="2" t="str">
        <f>IF(Crédito!A183="","",Crédito!D183)</f>
        <v/>
      </c>
      <c r="F383" s="5" t="str">
        <f>IF(Crédito!A183="","",Crédito!E183)</f>
        <v/>
      </c>
      <c r="G383" s="2" t="str">
        <f>IF(Crédito!A183="","",Crédito!H183)</f>
        <v/>
      </c>
      <c r="H383" s="2" t="str">
        <f>IF(Crédito!A183="","",Crédito!J183)</f>
        <v/>
      </c>
      <c r="I383" s="2" t="str">
        <f>IF(Crédito!A183="","",Crédito!I183)</f>
        <v/>
      </c>
    </row>
    <row r="384" spans="1:9" ht="16.5" customHeight="1">
      <c r="A384" s="2" t="str">
        <f>IF(Crédito!A184="","","Crédito")</f>
        <v/>
      </c>
      <c r="B384" s="4" t="str">
        <f>IF(Crédito!A184="","",Crédito!A184)</f>
        <v/>
      </c>
      <c r="C384" s="2" t="str">
        <f>IF(Crédito!A184="","",Crédito!B184)</f>
        <v/>
      </c>
      <c r="D384" s="2" t="str">
        <f>IF(Crédito!A184="","",Crédito!C184)</f>
        <v/>
      </c>
      <c r="E384" s="2" t="str">
        <f>IF(Crédito!A184="","",Crédito!D184)</f>
        <v/>
      </c>
      <c r="F384" s="5" t="str">
        <f>IF(Crédito!A184="","",Crédito!E184)</f>
        <v/>
      </c>
      <c r="G384" s="2" t="str">
        <f>IF(Crédito!A184="","",Crédito!H184)</f>
        <v/>
      </c>
      <c r="H384" s="2" t="str">
        <f>IF(Crédito!A184="","",Crédito!J184)</f>
        <v/>
      </c>
      <c r="I384" s="2" t="str">
        <f>IF(Crédito!A184="","",Crédito!I184)</f>
        <v/>
      </c>
    </row>
    <row r="385" spans="1:9" ht="16.5" customHeight="1">
      <c r="A385" s="2" t="str">
        <f>IF(Crédito!A185="","","Crédito")</f>
        <v/>
      </c>
      <c r="B385" s="4" t="str">
        <f>IF(Crédito!A185="","",Crédito!A185)</f>
        <v/>
      </c>
      <c r="C385" s="2" t="str">
        <f>IF(Crédito!A185="","",Crédito!B185)</f>
        <v/>
      </c>
      <c r="D385" s="2" t="str">
        <f>IF(Crédito!A185="","",Crédito!C185)</f>
        <v/>
      </c>
      <c r="E385" s="2" t="str">
        <f>IF(Crédito!A185="","",Crédito!D185)</f>
        <v/>
      </c>
      <c r="F385" s="5" t="str">
        <f>IF(Crédito!A185="","",Crédito!E185)</f>
        <v/>
      </c>
      <c r="G385" s="2" t="str">
        <f>IF(Crédito!A185="","",Crédito!H185)</f>
        <v/>
      </c>
      <c r="H385" s="2" t="str">
        <f>IF(Crédito!A185="","",Crédito!J185)</f>
        <v/>
      </c>
      <c r="I385" s="2" t="str">
        <f>IF(Crédito!A185="","",Crédito!I185)</f>
        <v/>
      </c>
    </row>
    <row r="386" spans="1:9" ht="16.5" customHeight="1">
      <c r="A386" s="2" t="str">
        <f>IF(Crédito!A186="","","Crédito")</f>
        <v/>
      </c>
      <c r="B386" s="4" t="str">
        <f>IF(Crédito!A186="","",Crédito!A186)</f>
        <v/>
      </c>
      <c r="C386" s="2" t="str">
        <f>IF(Crédito!A186="","",Crédito!B186)</f>
        <v/>
      </c>
      <c r="D386" s="2" t="str">
        <f>IF(Crédito!A186="","",Crédito!C186)</f>
        <v/>
      </c>
      <c r="E386" s="2" t="str">
        <f>IF(Crédito!A186="","",Crédito!D186)</f>
        <v/>
      </c>
      <c r="F386" s="5" t="str">
        <f>IF(Crédito!A186="","",Crédito!E186)</f>
        <v/>
      </c>
      <c r="G386" s="2" t="str">
        <f>IF(Crédito!A186="","",Crédito!H186)</f>
        <v/>
      </c>
      <c r="H386" s="2" t="str">
        <f>IF(Crédito!A186="","",Crédito!J186)</f>
        <v/>
      </c>
      <c r="I386" s="2" t="str">
        <f>IF(Crédito!A186="","",Crédito!I186)</f>
        <v/>
      </c>
    </row>
    <row r="387" spans="1:9" ht="16.5" customHeight="1">
      <c r="A387" s="2" t="str">
        <f>IF(Crédito!A187="","","Crédito")</f>
        <v/>
      </c>
      <c r="B387" s="4" t="str">
        <f>IF(Crédito!A187="","",Crédito!A187)</f>
        <v/>
      </c>
      <c r="C387" s="2" t="str">
        <f>IF(Crédito!A187="","",Crédito!B187)</f>
        <v/>
      </c>
      <c r="D387" s="2" t="str">
        <f>IF(Crédito!A187="","",Crédito!C187)</f>
        <v/>
      </c>
      <c r="E387" s="2" t="str">
        <f>IF(Crédito!A187="","",Crédito!D187)</f>
        <v/>
      </c>
      <c r="F387" s="5" t="str">
        <f>IF(Crédito!A187="","",Crédito!E187)</f>
        <v/>
      </c>
      <c r="G387" s="2" t="str">
        <f>IF(Crédito!A187="","",Crédito!H187)</f>
        <v/>
      </c>
      <c r="H387" s="2" t="str">
        <f>IF(Crédito!A187="","",Crédito!J187)</f>
        <v/>
      </c>
      <c r="I387" s="2" t="str">
        <f>IF(Crédito!A187="","",Crédito!I187)</f>
        <v/>
      </c>
    </row>
    <row r="388" spans="1:9" ht="16.5" customHeight="1">
      <c r="A388" s="2" t="str">
        <f>IF(Crédito!A188="","","Crédito")</f>
        <v/>
      </c>
      <c r="B388" s="4" t="str">
        <f>IF(Crédito!A188="","",Crédito!A188)</f>
        <v/>
      </c>
      <c r="C388" s="2" t="str">
        <f>IF(Crédito!A188="","",Crédito!B188)</f>
        <v/>
      </c>
      <c r="D388" s="2" t="str">
        <f>IF(Crédito!A188="","",Crédito!C188)</f>
        <v/>
      </c>
      <c r="E388" s="2" t="str">
        <f>IF(Crédito!A188="","",Crédito!D188)</f>
        <v/>
      </c>
      <c r="F388" s="5" t="str">
        <f>IF(Crédito!A188="","",Crédito!E188)</f>
        <v/>
      </c>
      <c r="G388" s="2" t="str">
        <f>IF(Crédito!A188="","",Crédito!H188)</f>
        <v/>
      </c>
      <c r="H388" s="2" t="str">
        <f>IF(Crédito!A188="","",Crédito!J188)</f>
        <v/>
      </c>
      <c r="I388" s="2" t="str">
        <f>IF(Crédito!A188="","",Crédito!I188)</f>
        <v/>
      </c>
    </row>
    <row r="389" spans="1:9" ht="16.5" customHeight="1">
      <c r="A389" s="2" t="str">
        <f>IF(Crédito!A189="","","Crédito")</f>
        <v/>
      </c>
      <c r="B389" s="4" t="str">
        <f>IF(Crédito!A189="","",Crédito!A189)</f>
        <v/>
      </c>
      <c r="C389" s="2" t="str">
        <f>IF(Crédito!A189="","",Crédito!B189)</f>
        <v/>
      </c>
      <c r="D389" s="2" t="str">
        <f>IF(Crédito!A189="","",Crédito!C189)</f>
        <v/>
      </c>
      <c r="E389" s="2" t="str">
        <f>IF(Crédito!A189="","",Crédito!D189)</f>
        <v/>
      </c>
      <c r="F389" s="5" t="str">
        <f>IF(Crédito!A189="","",Crédito!E189)</f>
        <v/>
      </c>
      <c r="G389" s="2" t="str">
        <f>IF(Crédito!A189="","",Crédito!H189)</f>
        <v/>
      </c>
      <c r="H389" s="2" t="str">
        <f>IF(Crédito!A189="","",Crédito!J189)</f>
        <v/>
      </c>
      <c r="I389" s="2" t="str">
        <f>IF(Crédito!A189="","",Crédito!I189)</f>
        <v/>
      </c>
    </row>
    <row r="390" spans="1:9" ht="16.5" customHeight="1">
      <c r="A390" s="2" t="str">
        <f>IF(Crédito!A190="","","Crédito")</f>
        <v/>
      </c>
      <c r="B390" s="4" t="str">
        <f>IF(Crédito!A190="","",Crédito!A190)</f>
        <v/>
      </c>
      <c r="C390" s="2" t="str">
        <f>IF(Crédito!A190="","",Crédito!B190)</f>
        <v/>
      </c>
      <c r="D390" s="2" t="str">
        <f>IF(Crédito!A190="","",Crédito!C190)</f>
        <v/>
      </c>
      <c r="E390" s="2" t="str">
        <f>IF(Crédito!A190="","",Crédito!D190)</f>
        <v/>
      </c>
      <c r="F390" s="5" t="str">
        <f>IF(Crédito!A190="","",Crédito!E190)</f>
        <v/>
      </c>
      <c r="G390" s="2" t="str">
        <f>IF(Crédito!A190="","",Crédito!H190)</f>
        <v/>
      </c>
      <c r="H390" s="2" t="str">
        <f>IF(Crédito!A190="","",Crédito!J190)</f>
        <v/>
      </c>
      <c r="I390" s="2" t="str">
        <f>IF(Crédito!A190="","",Crédito!I190)</f>
        <v/>
      </c>
    </row>
    <row r="391" spans="1:9" ht="16.5" customHeight="1">
      <c r="A391" s="2" t="str">
        <f>IF(Crédito!A191="","","Crédito")</f>
        <v/>
      </c>
      <c r="B391" s="4" t="str">
        <f>IF(Crédito!A191="","",Crédito!A191)</f>
        <v/>
      </c>
      <c r="C391" s="2" t="str">
        <f>IF(Crédito!A191="","",Crédito!B191)</f>
        <v/>
      </c>
      <c r="D391" s="2" t="str">
        <f>IF(Crédito!A191="","",Crédito!C191)</f>
        <v/>
      </c>
      <c r="E391" s="2" t="str">
        <f>IF(Crédito!A191="","",Crédito!D191)</f>
        <v/>
      </c>
      <c r="F391" s="5" t="str">
        <f>IF(Crédito!A191="","",Crédito!E191)</f>
        <v/>
      </c>
      <c r="G391" s="2" t="str">
        <f>IF(Crédito!A191="","",Crédito!H191)</f>
        <v/>
      </c>
      <c r="H391" s="2" t="str">
        <f>IF(Crédito!A191="","",Crédito!J191)</f>
        <v/>
      </c>
      <c r="I391" s="2" t="str">
        <f>IF(Crédito!A191="","",Crédito!I191)</f>
        <v/>
      </c>
    </row>
    <row r="392" spans="1:9" ht="16.5" customHeight="1">
      <c r="A392" s="2" t="str">
        <f>IF(Crédito!A192="","","Crédito")</f>
        <v/>
      </c>
      <c r="B392" s="4" t="str">
        <f>IF(Crédito!A192="","",Crédito!A192)</f>
        <v/>
      </c>
      <c r="C392" s="2" t="str">
        <f>IF(Crédito!A192="","",Crédito!B192)</f>
        <v/>
      </c>
      <c r="D392" s="2" t="str">
        <f>IF(Crédito!A192="","",Crédito!C192)</f>
        <v/>
      </c>
      <c r="E392" s="2" t="str">
        <f>IF(Crédito!A192="","",Crédito!D192)</f>
        <v/>
      </c>
      <c r="F392" s="5" t="str">
        <f>IF(Crédito!A192="","",Crédito!E192)</f>
        <v/>
      </c>
      <c r="G392" s="2" t="str">
        <f>IF(Crédito!A192="","",Crédito!H192)</f>
        <v/>
      </c>
      <c r="H392" s="2" t="str">
        <f>IF(Crédito!A192="","",Crédito!J192)</f>
        <v/>
      </c>
      <c r="I392" s="2" t="str">
        <f>IF(Crédito!A192="","",Crédito!I192)</f>
        <v/>
      </c>
    </row>
    <row r="393" spans="1:9" ht="16.5" customHeight="1">
      <c r="A393" s="2" t="str">
        <f>IF(Crédito!A193="","","Crédito")</f>
        <v/>
      </c>
      <c r="B393" s="4" t="str">
        <f>IF(Crédito!A193="","",Crédito!A193)</f>
        <v/>
      </c>
      <c r="C393" s="2" t="str">
        <f>IF(Crédito!A193="","",Crédito!B193)</f>
        <v/>
      </c>
      <c r="D393" s="2" t="str">
        <f>IF(Crédito!A193="","",Crédito!C193)</f>
        <v/>
      </c>
      <c r="E393" s="2" t="str">
        <f>IF(Crédito!A193="","",Crédito!D193)</f>
        <v/>
      </c>
      <c r="F393" s="5" t="str">
        <f>IF(Crédito!A193="","",Crédito!E193)</f>
        <v/>
      </c>
      <c r="G393" s="2" t="str">
        <f>IF(Crédito!A193="","",Crédito!H193)</f>
        <v/>
      </c>
      <c r="H393" s="2" t="str">
        <f>IF(Crédito!A193="","",Crédito!J193)</f>
        <v/>
      </c>
      <c r="I393" s="2" t="str">
        <f>IF(Crédito!A193="","",Crédito!I193)</f>
        <v/>
      </c>
    </row>
    <row r="394" spans="1:9" ht="16.5" customHeight="1">
      <c r="A394" s="2" t="str">
        <f>IF(Crédito!A194="","","Crédito")</f>
        <v/>
      </c>
      <c r="B394" s="4" t="str">
        <f>IF(Crédito!A194="","",Crédito!A194)</f>
        <v/>
      </c>
      <c r="C394" s="2" t="str">
        <f>IF(Crédito!A194="","",Crédito!B194)</f>
        <v/>
      </c>
      <c r="D394" s="2" t="str">
        <f>IF(Crédito!A194="","",Crédito!C194)</f>
        <v/>
      </c>
      <c r="E394" s="2" t="str">
        <f>IF(Crédito!A194="","",Crédito!D194)</f>
        <v/>
      </c>
      <c r="F394" s="5" t="str">
        <f>IF(Crédito!A194="","",Crédito!E194)</f>
        <v/>
      </c>
      <c r="G394" s="2" t="str">
        <f>IF(Crédito!A194="","",Crédito!H194)</f>
        <v/>
      </c>
      <c r="H394" s="2" t="str">
        <f>IF(Crédito!A194="","",Crédito!J194)</f>
        <v/>
      </c>
      <c r="I394" s="2" t="str">
        <f>IF(Crédito!A194="","",Crédito!I194)</f>
        <v/>
      </c>
    </row>
    <row r="395" spans="1:9" ht="16.5" customHeight="1">
      <c r="A395" s="2" t="str">
        <f>IF(Crédito!A195="","","Crédito")</f>
        <v/>
      </c>
      <c r="B395" s="4" t="str">
        <f>IF(Crédito!A195="","",Crédito!A195)</f>
        <v/>
      </c>
      <c r="C395" s="2" t="str">
        <f>IF(Crédito!A195="","",Crédito!B195)</f>
        <v/>
      </c>
      <c r="D395" s="2" t="str">
        <f>IF(Crédito!A195="","",Crédito!C195)</f>
        <v/>
      </c>
      <c r="E395" s="2" t="str">
        <f>IF(Crédito!A195="","",Crédito!D195)</f>
        <v/>
      </c>
      <c r="F395" s="5" t="str">
        <f>IF(Crédito!A195="","",Crédito!E195)</f>
        <v/>
      </c>
      <c r="G395" s="2" t="str">
        <f>IF(Crédito!A195="","",Crédito!H195)</f>
        <v/>
      </c>
      <c r="H395" s="2" t="str">
        <f>IF(Crédito!A195="","",Crédito!J195)</f>
        <v/>
      </c>
      <c r="I395" s="2" t="str">
        <f>IF(Crédito!A195="","",Crédito!I195)</f>
        <v/>
      </c>
    </row>
    <row r="396" spans="1:9" ht="16.5" customHeight="1">
      <c r="A396" s="2" t="str">
        <f>IF(Crédito!A196="","","Crédito")</f>
        <v/>
      </c>
      <c r="B396" s="4" t="str">
        <f>IF(Crédito!A196="","",Crédito!A196)</f>
        <v/>
      </c>
      <c r="C396" s="2" t="str">
        <f>IF(Crédito!A196="","",Crédito!B196)</f>
        <v/>
      </c>
      <c r="D396" s="2" t="str">
        <f>IF(Crédito!A196="","",Crédito!C196)</f>
        <v/>
      </c>
      <c r="E396" s="2" t="str">
        <f>IF(Crédito!A196="","",Crédito!D196)</f>
        <v/>
      </c>
      <c r="F396" s="5" t="str">
        <f>IF(Crédito!A196="","",Crédito!E196)</f>
        <v/>
      </c>
      <c r="G396" s="2" t="str">
        <f>IF(Crédito!A196="","",Crédito!H196)</f>
        <v/>
      </c>
      <c r="H396" s="2" t="str">
        <f>IF(Crédito!A196="","",Crédito!J196)</f>
        <v/>
      </c>
      <c r="I396" s="2" t="str">
        <f>IF(Crédito!A196="","",Crédito!I196)</f>
        <v/>
      </c>
    </row>
    <row r="397" spans="1:9" ht="16.5" customHeight="1">
      <c r="A397" s="2" t="str">
        <f>IF(Crédito!A197="","","Crédito")</f>
        <v/>
      </c>
      <c r="B397" s="4" t="str">
        <f>IF(Crédito!A197="","",Crédito!A197)</f>
        <v/>
      </c>
      <c r="C397" s="2" t="str">
        <f>IF(Crédito!A197="","",Crédito!B197)</f>
        <v/>
      </c>
      <c r="D397" s="2" t="str">
        <f>IF(Crédito!A197="","",Crédito!C197)</f>
        <v/>
      </c>
      <c r="E397" s="2" t="str">
        <f>IF(Crédito!A197="","",Crédito!D197)</f>
        <v/>
      </c>
      <c r="F397" s="5" t="str">
        <f>IF(Crédito!A197="","",Crédito!E197)</f>
        <v/>
      </c>
      <c r="G397" s="2" t="str">
        <f>IF(Crédito!A197="","",Crédito!H197)</f>
        <v/>
      </c>
      <c r="H397" s="2" t="str">
        <f>IF(Crédito!A197="","",Crédito!J197)</f>
        <v/>
      </c>
      <c r="I397" s="2" t="str">
        <f>IF(Crédito!A197="","",Crédito!I197)</f>
        <v/>
      </c>
    </row>
    <row r="398" spans="1:9" ht="16.5" customHeight="1">
      <c r="A398" s="2" t="str">
        <f>IF(Crédito!A198="","","Crédito")</f>
        <v/>
      </c>
      <c r="B398" s="4" t="str">
        <f>IF(Crédito!A198="","",Crédito!A198)</f>
        <v/>
      </c>
      <c r="C398" s="2" t="str">
        <f>IF(Crédito!A198="","",Crédito!B198)</f>
        <v/>
      </c>
      <c r="D398" s="2" t="str">
        <f>IF(Crédito!A198="","",Crédito!C198)</f>
        <v/>
      </c>
      <c r="E398" s="2" t="str">
        <f>IF(Crédito!A198="","",Crédito!D198)</f>
        <v/>
      </c>
      <c r="F398" s="5" t="str">
        <f>IF(Crédito!A198="","",Crédito!E198)</f>
        <v/>
      </c>
      <c r="G398" s="2" t="str">
        <f>IF(Crédito!A198="","",Crédito!H198)</f>
        <v/>
      </c>
      <c r="H398" s="2" t="str">
        <f>IF(Crédito!A198="","",Crédito!J198)</f>
        <v/>
      </c>
      <c r="I398" s="2" t="str">
        <f>IF(Crédito!A198="","",Crédito!I198)</f>
        <v/>
      </c>
    </row>
    <row r="399" spans="1:9" ht="16.5" customHeight="1">
      <c r="A399" s="2" t="str">
        <f>IF(Crédito!A199="","","Crédito")</f>
        <v/>
      </c>
      <c r="B399" s="4" t="str">
        <f>IF(Crédito!A199="","",Crédito!A199)</f>
        <v/>
      </c>
      <c r="C399" s="2" t="str">
        <f>IF(Crédito!A199="","",Crédito!B199)</f>
        <v/>
      </c>
      <c r="D399" s="2" t="str">
        <f>IF(Crédito!A199="","",Crédito!C199)</f>
        <v/>
      </c>
      <c r="E399" s="2" t="str">
        <f>IF(Crédito!A199="","",Crédito!D199)</f>
        <v/>
      </c>
      <c r="F399" s="5" t="str">
        <f>IF(Crédito!A199="","",Crédito!E199)</f>
        <v/>
      </c>
      <c r="G399" s="2" t="str">
        <f>IF(Crédito!A199="","",Crédito!H199)</f>
        <v/>
      </c>
      <c r="H399" s="2" t="str">
        <f>IF(Crédito!A199="","",Crédito!J199)</f>
        <v/>
      </c>
      <c r="I399" s="2" t="str">
        <f>IF(Crédito!A199="","",Crédito!I199)</f>
        <v/>
      </c>
    </row>
    <row r="400" spans="1:9" ht="16.5" customHeight="1">
      <c r="A400" s="2" t="str">
        <f>IF(Crédito!A200="","","Crédito")</f>
        <v/>
      </c>
      <c r="B400" s="4" t="str">
        <f>IF(Crédito!A200="","",Crédito!A200)</f>
        <v/>
      </c>
      <c r="C400" s="2" t="str">
        <f>IF(Crédito!A200="","",Crédito!B200)</f>
        <v/>
      </c>
      <c r="D400" s="2" t="str">
        <f>IF(Crédito!A200="","",Crédito!C200)</f>
        <v/>
      </c>
      <c r="E400" s="2" t="str">
        <f>IF(Crédito!A200="","",Crédito!D200)</f>
        <v/>
      </c>
      <c r="F400" s="5" t="str">
        <f>IF(Crédito!A200="","",Crédito!E200)</f>
        <v/>
      </c>
      <c r="G400" s="2" t="str">
        <f>IF(Crédito!A200="","",Crédito!H200)</f>
        <v/>
      </c>
      <c r="H400" s="2" t="str">
        <f>IF(Crédito!A200="","",Crédito!J200)</f>
        <v/>
      </c>
      <c r="I400" s="2" t="str">
        <f>IF(Crédito!A200="","",Crédito!I200)</f>
        <v/>
      </c>
    </row>
    <row r="401" spans="1:9" ht="16.5" customHeight="1">
      <c r="A401" s="2" t="str">
        <f>IF(Crédito!A201="","","Crédito")</f>
        <v/>
      </c>
      <c r="B401" s="4" t="str">
        <f>IF(Crédito!A201="","",Crédito!A201)</f>
        <v/>
      </c>
      <c r="C401" s="2" t="str">
        <f>IF(Crédito!A201="","",Crédito!B201)</f>
        <v/>
      </c>
      <c r="D401" s="2" t="str">
        <f>IF(Crédito!A201="","",Crédito!C201)</f>
        <v/>
      </c>
      <c r="E401" s="2" t="str">
        <f>IF(Crédito!A201="","",Crédito!D201)</f>
        <v/>
      </c>
      <c r="F401" s="5" t="str">
        <f>IF(Crédito!A201="","",Crédito!E201)</f>
        <v/>
      </c>
      <c r="G401" s="2" t="str">
        <f>IF(Crédito!A201="","",Crédito!H201)</f>
        <v/>
      </c>
      <c r="H401" s="2" t="str">
        <f>IF(Crédito!A201="","",Crédito!J201)</f>
        <v/>
      </c>
      <c r="I401" s="2" t="str">
        <f>IF(Crédito!A201="","",Crédito!I201)</f>
        <v/>
      </c>
    </row>
    <row r="402" spans="1:9" ht="16.5" customHeight="1">
      <c r="A402" s="2" t="str">
        <f>IF(Crédito!A202="","","Crédito")</f>
        <v/>
      </c>
      <c r="B402" s="4" t="str">
        <f>IF(Crédito!A202="","",Crédito!A202)</f>
        <v/>
      </c>
      <c r="C402" s="2" t="str">
        <f>IF(Crédito!A202="","",Crédito!B202)</f>
        <v/>
      </c>
      <c r="D402" s="2" t="str">
        <f>IF(Crédito!A202="","",Crédito!C202)</f>
        <v/>
      </c>
      <c r="E402" s="2" t="str">
        <f>IF(Crédito!A202="","",Crédito!D202)</f>
        <v/>
      </c>
      <c r="F402" s="5" t="str">
        <f>IF(Crédito!A202="","",Crédito!E202)</f>
        <v/>
      </c>
      <c r="G402" s="2" t="str">
        <f>IF(Crédito!A202="","",Crédito!H202)</f>
        <v/>
      </c>
      <c r="H402" s="2" t="str">
        <f>IF(Crédito!A202="","",Crédito!J202)</f>
        <v/>
      </c>
      <c r="I402" s="2" t="str">
        <f>IF(Crédito!A202="","",Crédito!I202)</f>
        <v/>
      </c>
    </row>
    <row r="403" spans="1:9" ht="16.5" customHeight="1">
      <c r="A403" s="2" t="str">
        <f>IF(Crédito!A203="","","Crédito")</f>
        <v/>
      </c>
      <c r="B403" s="4" t="str">
        <f>IF(Crédito!A203="","",Crédito!A203)</f>
        <v/>
      </c>
      <c r="C403" s="2" t="str">
        <f>IF(Crédito!A203="","",Crédito!B203)</f>
        <v/>
      </c>
      <c r="D403" s="2" t="str">
        <f>IF(Crédito!A203="","",Crédito!C203)</f>
        <v/>
      </c>
      <c r="E403" s="2" t="str">
        <f>IF(Crédito!A203="","",Crédito!D203)</f>
        <v/>
      </c>
      <c r="F403" s="5" t="str">
        <f>IF(Crédito!A203="","",Crédito!E203)</f>
        <v/>
      </c>
      <c r="G403" s="2" t="str">
        <f>IF(Crédito!A203="","",Crédito!H203)</f>
        <v/>
      </c>
      <c r="H403" s="2" t="str">
        <f>IF(Crédito!A203="","",Crédito!J203)</f>
        <v/>
      </c>
      <c r="I403" s="2" t="str">
        <f>IF(Crédito!A203="","",Crédito!I203)</f>
        <v/>
      </c>
    </row>
    <row r="404" spans="1:9" ht="16.5" customHeight="1">
      <c r="A404" s="2" t="str">
        <f>IF(Crédito!A204="","","Crédito")</f>
        <v/>
      </c>
      <c r="B404" s="4" t="str">
        <f>IF(Crédito!A204="","",Crédito!A204)</f>
        <v/>
      </c>
      <c r="C404" s="2" t="str">
        <f>IF(Crédito!A204="","",Crédito!B204)</f>
        <v/>
      </c>
      <c r="D404" s="2" t="str">
        <f>IF(Crédito!A204="","",Crédito!C204)</f>
        <v/>
      </c>
      <c r="E404" s="2" t="str">
        <f>IF(Crédito!A204="","",Crédito!D204)</f>
        <v/>
      </c>
      <c r="F404" s="5" t="str">
        <f>IF(Crédito!A204="","",Crédito!E204)</f>
        <v/>
      </c>
      <c r="G404" s="2" t="str">
        <f>IF(Crédito!A204="","",Crédito!H204)</f>
        <v/>
      </c>
      <c r="H404" s="2" t="str">
        <f>IF(Crédito!A204="","",Crédito!J204)</f>
        <v/>
      </c>
      <c r="I404" s="2" t="str">
        <f>IF(Crédito!A204="","",Crédito!I204)</f>
        <v/>
      </c>
    </row>
    <row r="405" spans="1:9" ht="16.5" customHeight="1">
      <c r="A405" s="2" t="str">
        <f>IF(Crédito!A205="","","Crédito")</f>
        <v/>
      </c>
      <c r="B405" s="4" t="str">
        <f>IF(Crédito!A205="","",Crédito!A205)</f>
        <v/>
      </c>
      <c r="C405" s="2" t="str">
        <f>IF(Crédito!A205="","",Crédito!B205)</f>
        <v/>
      </c>
      <c r="D405" s="2" t="str">
        <f>IF(Crédito!A205="","",Crédito!C205)</f>
        <v/>
      </c>
      <c r="E405" s="2" t="str">
        <f>IF(Crédito!A205="","",Crédito!D205)</f>
        <v/>
      </c>
      <c r="F405" s="5" t="str">
        <f>IF(Crédito!A205="","",Crédito!E205)</f>
        <v/>
      </c>
      <c r="G405" s="2" t="str">
        <f>IF(Crédito!A205="","",Crédito!H205)</f>
        <v/>
      </c>
      <c r="H405" s="2" t="str">
        <f>IF(Crédito!A205="","",Crédito!J205)</f>
        <v/>
      </c>
      <c r="I405" s="2" t="str">
        <f>IF(Crédito!A205="","",Crédito!I205)</f>
        <v/>
      </c>
    </row>
  </sheetData>
  <mergeCells count="2">
    <mergeCell ref="A1:I1"/>
    <mergeCell ref="A2:I2"/>
  </mergeCells>
  <conditionalFormatting sqref="F6:F405">
    <cfRule type="cellIs" dxfId="0" priority="1" operator="greaterThan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showGridLines="0" workbookViewId="0"/>
  </sheetViews>
  <sheetFormatPr defaultRowHeight="13.8"/>
  <cols>
    <col min="1" max="1" width="18.69921875" customWidth="1"/>
    <col min="2" max="2" width="14.3984375" customWidth="1"/>
    <col min="3" max="3" width="18.69921875" customWidth="1"/>
    <col min="4" max="4" width="18.09765625" customWidth="1"/>
    <col min="5" max="5" width="42.5" customWidth="1"/>
  </cols>
  <sheetData>
    <row r="1" spans="1:5" ht="27" customHeight="1">
      <c r="A1" s="29" t="s">
        <v>76</v>
      </c>
      <c r="B1" s="29" t="s">
        <v>76</v>
      </c>
      <c r="C1" s="29" t="s">
        <v>76</v>
      </c>
      <c r="D1" s="29" t="s">
        <v>76</v>
      </c>
      <c r="E1" s="29" t="s">
        <v>76</v>
      </c>
    </row>
    <row r="3" spans="1:5">
      <c r="A3" s="1" t="s">
        <v>77</v>
      </c>
      <c r="B3" s="1" t="s">
        <v>47</v>
      </c>
      <c r="C3" s="1" t="s">
        <v>78</v>
      </c>
      <c r="D3" s="1" t="s">
        <v>79</v>
      </c>
      <c r="E3" s="1" t="s">
        <v>80</v>
      </c>
    </row>
    <row r="4" spans="1:5">
      <c r="A4" s="3" t="s">
        <v>19</v>
      </c>
      <c r="B4" s="3" t="s">
        <v>51</v>
      </c>
      <c r="C4" s="3" t="s">
        <v>55</v>
      </c>
      <c r="D4" s="3" t="s">
        <v>64</v>
      </c>
      <c r="E4" s="2" t="s">
        <v>81</v>
      </c>
    </row>
    <row r="5" spans="1:5">
      <c r="A5" s="3" t="s">
        <v>21</v>
      </c>
      <c r="B5" s="3" t="s">
        <v>65</v>
      </c>
      <c r="C5" s="3" t="s">
        <v>50</v>
      </c>
      <c r="D5" s="3" t="s">
        <v>67</v>
      </c>
      <c r="E5" s="2"/>
    </row>
    <row r="6" spans="1:5">
      <c r="A6" s="3" t="s">
        <v>23</v>
      </c>
      <c r="B6" s="3" t="s">
        <v>82</v>
      </c>
      <c r="C6" s="3" t="s">
        <v>83</v>
      </c>
      <c r="D6" s="3" t="s">
        <v>84</v>
      </c>
      <c r="E6" s="2"/>
    </row>
    <row r="7" spans="1:5">
      <c r="A7" s="3" t="s">
        <v>25</v>
      </c>
      <c r="B7" s="2"/>
      <c r="C7" s="3" t="s">
        <v>54</v>
      </c>
      <c r="D7" s="3" t="s">
        <v>71</v>
      </c>
      <c r="E7" s="2"/>
    </row>
    <row r="8" spans="1:5">
      <c r="A8" s="3" t="s">
        <v>27</v>
      </c>
      <c r="B8" s="2"/>
      <c r="C8" s="3" t="s">
        <v>85</v>
      </c>
      <c r="D8" s="3" t="s">
        <v>86</v>
      </c>
      <c r="E8" s="2"/>
    </row>
    <row r="9" spans="1:5">
      <c r="A9" s="3" t="s">
        <v>29</v>
      </c>
      <c r="B9" s="2"/>
      <c r="C9" s="3" t="s">
        <v>86</v>
      </c>
      <c r="D9" s="2"/>
      <c r="E9" s="2"/>
    </row>
    <row r="10" spans="1:5">
      <c r="A10" s="3" t="s">
        <v>31</v>
      </c>
      <c r="B10" s="2"/>
      <c r="C10" s="2"/>
      <c r="D10" s="2"/>
      <c r="E10" s="2"/>
    </row>
    <row r="11" spans="1:5">
      <c r="A11" s="3" t="s">
        <v>33</v>
      </c>
      <c r="B11" s="2"/>
      <c r="C11" s="2"/>
      <c r="D11" s="2"/>
      <c r="E11" s="2"/>
    </row>
    <row r="12" spans="1:5">
      <c r="A12" s="3" t="s">
        <v>35</v>
      </c>
      <c r="B12" s="2"/>
      <c r="C12" s="2"/>
      <c r="D12" s="2"/>
      <c r="E12" s="2"/>
    </row>
    <row r="13" spans="1:5">
      <c r="A13" s="3" t="s">
        <v>37</v>
      </c>
      <c r="B13" s="2"/>
      <c r="C13" s="2"/>
      <c r="D13" s="2"/>
      <c r="E13" s="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Débito</vt:lpstr>
      <vt:lpstr>Crédito</vt:lpstr>
      <vt:lpstr>Todos os Gastos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Olart</cp:lastModifiedBy>
  <dcterms:modified xsi:type="dcterms:W3CDTF">2026-06-12T21:43:58Z</dcterms:modified>
</cp:coreProperties>
</file>